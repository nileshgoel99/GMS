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B INTERNATIONAL-updated\COMPANIES\CID -Consider it Done\25th Order\"/>
    </mc:Choice>
  </mc:AlternateContent>
  <xr:revisionPtr revIDLastSave="0" documentId="13_ncr:1_{90DDD0FD-A7AD-45EC-9323-F4293D2349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aterproof Trousers" sheetId="11" r:id="rId1"/>
    <sheet name="Unlined Jacket" sheetId="10" r:id="rId2"/>
    <sheet name="Contractors Jacket" sheetId="6" r:id="rId3"/>
    <sheet name="Bomber Jacket" sheetId="12" r:id="rId4"/>
    <sheet name="Sheet4" sheetId="13" r:id="rId5"/>
    <sheet name="Sheet3" sheetId="9" r:id="rId6"/>
    <sheet name="Sheet2" sheetId="8" r:id="rId7"/>
    <sheet name="Sheet1" sheetId="14" r:id="rId8"/>
  </sheets>
  <calcPr calcId="191029"/>
</workbook>
</file>

<file path=xl/calcChain.xml><?xml version="1.0" encoding="utf-8"?>
<calcChain xmlns="http://schemas.openxmlformats.org/spreadsheetml/2006/main">
  <c r="H15" i="6" l="1"/>
  <c r="H10" i="11"/>
  <c r="N13" i="11"/>
  <c r="N12" i="11"/>
  <c r="H13" i="12" l="1"/>
  <c r="H13" i="6"/>
  <c r="I5" i="14"/>
  <c r="H18" i="14"/>
  <c r="H17" i="14"/>
  <c r="G6" i="14"/>
  <c r="I10" i="13" l="1"/>
  <c r="G15" i="13"/>
  <c r="G16" i="13"/>
  <c r="G17" i="13"/>
  <c r="G18" i="13"/>
  <c r="G19" i="13"/>
  <c r="G14" i="13"/>
  <c r="H7" i="13"/>
  <c r="H8" i="13"/>
  <c r="H9" i="13"/>
  <c r="H10" i="13"/>
  <c r="H6" i="13"/>
  <c r="H11" i="11" l="1"/>
  <c r="O5" i="14"/>
  <c r="N6" i="14"/>
  <c r="N7" i="14" s="1"/>
  <c r="H6" i="14"/>
  <c r="I6" i="14" s="1"/>
  <c r="E6" i="14"/>
  <c r="E7" i="14"/>
  <c r="G7" i="14" s="1"/>
  <c r="E8" i="14"/>
  <c r="G8" i="14" s="1"/>
  <c r="E9" i="14"/>
  <c r="G9" i="14" s="1"/>
  <c r="E10" i="14"/>
  <c r="G10" i="14" s="1"/>
  <c r="E11" i="14"/>
  <c r="G11" i="14" s="1"/>
  <c r="E12" i="14"/>
  <c r="M6" i="14"/>
  <c r="M7" i="14"/>
  <c r="M8" i="14"/>
  <c r="M9" i="14"/>
  <c r="M10" i="14"/>
  <c r="M5" i="14"/>
  <c r="O7" i="14" l="1"/>
  <c r="N8" i="14"/>
  <c r="O6" i="14"/>
  <c r="H7" i="14"/>
  <c r="H19" i="14"/>
  <c r="O8" i="14" l="1"/>
  <c r="N9" i="14"/>
  <c r="I7" i="14"/>
  <c r="H8" i="14"/>
  <c r="H12" i="6"/>
  <c r="H11" i="6"/>
  <c r="N10" i="14" l="1"/>
  <c r="O10" i="14" s="1"/>
  <c r="O9" i="14"/>
  <c r="H9" i="14"/>
  <c r="I8" i="14"/>
  <c r="F15" i="8"/>
  <c r="H15" i="8" s="1"/>
  <c r="O11" i="14" l="1"/>
  <c r="H10" i="14"/>
  <c r="I9" i="14"/>
  <c r="M11" i="14"/>
  <c r="T6" i="14"/>
  <c r="T7" i="14"/>
  <c r="T8" i="14"/>
  <c r="T5" i="14"/>
  <c r="E5" i="14"/>
  <c r="G5" i="14" s="1"/>
  <c r="G13" i="14" s="1"/>
  <c r="H11" i="14" l="1"/>
  <c r="I10" i="14"/>
  <c r="H7" i="12"/>
  <c r="H8" i="6"/>
  <c r="H7" i="6"/>
  <c r="H8" i="12"/>
  <c r="J44" i="12"/>
  <c r="J43" i="12"/>
  <c r="H41" i="12"/>
  <c r="H40" i="12"/>
  <c r="H39" i="12"/>
  <c r="H38" i="12"/>
  <c r="H37" i="12"/>
  <c r="H36" i="12"/>
  <c r="H18" i="12"/>
  <c r="E18" i="12"/>
  <c r="H17" i="12"/>
  <c r="E17" i="12"/>
  <c r="H11" i="12"/>
  <c r="H10" i="12"/>
  <c r="J5" i="12"/>
  <c r="I11" i="14" l="1"/>
  <c r="H33" i="12"/>
  <c r="H15" i="12"/>
  <c r="H14" i="12"/>
  <c r="J45" i="12"/>
  <c r="I24" i="12"/>
  <c r="I27" i="12"/>
  <c r="I26" i="12"/>
  <c r="H32" i="12"/>
  <c r="H34" i="12"/>
  <c r="H35" i="12"/>
  <c r="H29" i="12"/>
  <c r="H30" i="12"/>
  <c r="H9" i="12"/>
  <c r="H28" i="12"/>
  <c r="H12" i="12"/>
  <c r="I23" i="12"/>
  <c r="H31" i="12"/>
  <c r="I25" i="12"/>
  <c r="I13" i="14" l="1"/>
  <c r="I19" i="14" s="1"/>
  <c r="I20" i="14" s="1"/>
  <c r="H8" i="11"/>
  <c r="P20" i="8"/>
  <c r="P19" i="8"/>
  <c r="P18" i="8"/>
  <c r="J42" i="10" l="1"/>
  <c r="J41" i="10"/>
  <c r="H39" i="10"/>
  <c r="H38" i="10"/>
  <c r="H37" i="10"/>
  <c r="H36" i="10"/>
  <c r="H35" i="10"/>
  <c r="H34" i="10"/>
  <c r="H17" i="10"/>
  <c r="E17" i="10"/>
  <c r="H16" i="10"/>
  <c r="E16" i="10"/>
  <c r="H10" i="10"/>
  <c r="H9" i="10"/>
  <c r="H8" i="10"/>
  <c r="H7" i="10"/>
  <c r="J5" i="10"/>
  <c r="H32" i="10" s="1"/>
  <c r="J43" i="10" l="1"/>
  <c r="H33" i="10"/>
  <c r="H27" i="10"/>
  <c r="H28" i="10"/>
  <c r="I25" i="10"/>
  <c r="H30" i="10"/>
  <c r="H14" i="10"/>
  <c r="H26" i="10"/>
  <c r="H29" i="10"/>
  <c r="H11" i="10"/>
  <c r="I22" i="10"/>
  <c r="H12" i="10"/>
  <c r="I23" i="10"/>
  <c r="H31" i="10"/>
  <c r="H13" i="10"/>
  <c r="I24" i="10"/>
  <c r="J26" i="11" l="1"/>
  <c r="J25" i="11"/>
  <c r="H7" i="11"/>
  <c r="J5" i="11"/>
  <c r="H12" i="11" s="1"/>
  <c r="J27" i="11" l="1"/>
  <c r="H19" i="11"/>
  <c r="H20" i="11"/>
  <c r="H17" i="11"/>
  <c r="H18" i="11"/>
  <c r="H9" i="11"/>
  <c r="H21" i="11"/>
  <c r="H22" i="11"/>
  <c r="H23" i="11"/>
  <c r="F7" i="8" l="1"/>
  <c r="H7" i="8" s="1"/>
  <c r="F8" i="8"/>
  <c r="H8" i="8" s="1"/>
  <c r="F9" i="8"/>
  <c r="H9" i="8" s="1"/>
  <c r="F10" i="8"/>
  <c r="H10" i="8" s="1"/>
  <c r="F11" i="8"/>
  <c r="H11" i="8" s="1"/>
  <c r="F12" i="8"/>
  <c r="H12" i="8" s="1"/>
  <c r="F13" i="8"/>
  <c r="H13" i="8" s="1"/>
  <c r="F14" i="8"/>
  <c r="H14" i="8" s="1"/>
  <c r="F6" i="8"/>
  <c r="H6" i="8" s="1"/>
  <c r="H41" i="6" l="1"/>
  <c r="H40" i="6"/>
  <c r="H39" i="6"/>
  <c r="H38" i="6"/>
  <c r="H37" i="6"/>
  <c r="H36" i="6"/>
  <c r="J44" i="6" l="1"/>
  <c r="J43" i="6"/>
  <c r="H18" i="6"/>
  <c r="E18" i="6"/>
  <c r="H17" i="6"/>
  <c r="E17" i="6"/>
  <c r="H10" i="6"/>
  <c r="J5" i="6"/>
  <c r="H9" i="6" s="1"/>
  <c r="I23" i="6" l="1"/>
  <c r="J13" i="6"/>
  <c r="H34" i="6"/>
  <c r="H33" i="6"/>
  <c r="H29" i="6"/>
  <c r="I26" i="6"/>
  <c r="I27" i="6"/>
  <c r="J45" i="6"/>
  <c r="I24" i="6"/>
  <c r="H30" i="6"/>
  <c r="H32" i="6"/>
  <c r="H35" i="6"/>
  <c r="H14" i="6"/>
  <c r="I25" i="6"/>
  <c r="H28" i="6"/>
  <c r="H31" i="6"/>
</calcChain>
</file>

<file path=xl/sharedStrings.xml><?xml version="1.0" encoding="utf-8"?>
<sst xmlns="http://schemas.openxmlformats.org/spreadsheetml/2006/main" count="847" uniqueCount="224">
  <si>
    <t>JB International</t>
  </si>
  <si>
    <t>COLOUR</t>
  </si>
  <si>
    <t>TOTAL</t>
  </si>
  <si>
    <t>QTY</t>
  </si>
  <si>
    <t>MATERIAL</t>
  </si>
  <si>
    <t>CONSUM.</t>
  </si>
  <si>
    <t>UNIT</t>
  </si>
  <si>
    <t>VARIATION</t>
  </si>
  <si>
    <t>TOT CON.</t>
  </si>
  <si>
    <t>Orange</t>
  </si>
  <si>
    <t>MTRS</t>
  </si>
  <si>
    <t xml:space="preserve">GREY </t>
  </si>
  <si>
    <t>PC</t>
  </si>
  <si>
    <t>PCS</t>
  </si>
  <si>
    <t>HOOK</t>
  </si>
  <si>
    <t>PER PC CONS</t>
  </si>
  <si>
    <t>LOOP</t>
  </si>
  <si>
    <t>ITEM / SIZE DETAILS</t>
  </si>
  <si>
    <t>S</t>
  </si>
  <si>
    <t>M</t>
  </si>
  <si>
    <t>L</t>
  </si>
  <si>
    <t>XL</t>
  </si>
  <si>
    <t>2XL</t>
  </si>
  <si>
    <t>3XL</t>
  </si>
  <si>
    <t>ZIPPER SIZE REQUIRED</t>
  </si>
  <si>
    <t>Prepared By :-</t>
  </si>
  <si>
    <t>Received By :-</t>
  </si>
  <si>
    <t>Approved By :-</t>
  </si>
  <si>
    <t>Yellow</t>
  </si>
  <si>
    <t>Carton Size</t>
  </si>
  <si>
    <t>CONES</t>
  </si>
  <si>
    <t>POLYSPUN SEWING THREAD-ARTICLE 4222</t>
  </si>
  <si>
    <t>Woven Flag Label</t>
  </si>
  <si>
    <t>Tafetta Instruction Label</t>
  </si>
  <si>
    <t>Batch Label</t>
  </si>
  <si>
    <t>INDENT NO:- CID</t>
  </si>
  <si>
    <t>100% POLYESTER PU COATED</t>
  </si>
  <si>
    <t>5 CM WIDE 100% POLYESTER CHINA STAR</t>
  </si>
  <si>
    <t>SEAM SEALING TAPE</t>
  </si>
  <si>
    <t>Quilitng with Black Polyester Lining</t>
  </si>
  <si>
    <t>Black</t>
  </si>
  <si>
    <t>Tafetta Lining</t>
  </si>
  <si>
    <t>VELCRO 20 MM</t>
  </si>
  <si>
    <t>Elasticated Cord</t>
  </si>
  <si>
    <t>Stopper</t>
  </si>
  <si>
    <t>Eyelet</t>
  </si>
  <si>
    <t>8 No. Vislon Single Puller</t>
  </si>
  <si>
    <t>ITEM NO. 1 : HI VIS WATERPROOF CONTRACTORS JACKET 100% POLYESTER WITH PU COATING</t>
  </si>
  <si>
    <t>GRAMS</t>
  </si>
  <si>
    <t>Grosgrain Tape - 1/2 INCH</t>
  </si>
  <si>
    <t>Enduropro Sticker</t>
  </si>
  <si>
    <t>8 No. Vislon Double Puller</t>
  </si>
  <si>
    <t>Heat Transfer Label</t>
  </si>
  <si>
    <t>Balls</t>
  </si>
  <si>
    <t>Woven Main Label (PATCH)</t>
  </si>
  <si>
    <t>Woven Size Label</t>
  </si>
  <si>
    <t>Polybag 51 cms (Width) X 81 cms (Length)</t>
  </si>
  <si>
    <t>10/Box</t>
  </si>
  <si>
    <t>82 cms (Length) X 52 cms (Breadth) X 26 cms (Height)</t>
  </si>
  <si>
    <t>cbm claculation</t>
  </si>
  <si>
    <t>WATERPROOF TROUSERS-YELLOW</t>
  </si>
  <si>
    <t>WATERPROOF TROUSERS-ORANGE</t>
  </si>
  <si>
    <t>CONTRACTOR JACKET-ORANGE</t>
  </si>
  <si>
    <t>BOMBER JACKET-YELLOW</t>
  </si>
  <si>
    <t>BOMBER JACKET-ORANGE</t>
  </si>
  <si>
    <t>CONTRACTOR JACKET-YELLOW</t>
  </si>
  <si>
    <t>HI VIS POLYCOTTON CARGO TROUSERS</t>
  </si>
  <si>
    <t>per box</t>
  </si>
  <si>
    <t>69 cms (L)*41 cms(B)*26 cms(H)</t>
  </si>
  <si>
    <t>82 cms (L)*52 cms(B)*26 cms(H)</t>
  </si>
  <si>
    <t>Trousers</t>
  </si>
  <si>
    <t>Contractors</t>
  </si>
  <si>
    <t>bomber</t>
  </si>
  <si>
    <t>unlined</t>
  </si>
  <si>
    <t>UNLINED JACKET-YELLOW</t>
  </si>
  <si>
    <t>UNLINED JACKET-ORANGE</t>
  </si>
  <si>
    <t>24.5 inches *14.5 inches *9 inches (L*W*H)</t>
  </si>
  <si>
    <t>Polycotton</t>
  </si>
  <si>
    <t>boxes</t>
  </si>
  <si>
    <t>cbm/box</t>
  </si>
  <si>
    <t>Item</t>
  </si>
  <si>
    <t>Particulars</t>
  </si>
  <si>
    <t>Class of ENISO 20471</t>
  </si>
  <si>
    <t>CID Item Code</t>
  </si>
  <si>
    <t>Size</t>
  </si>
  <si>
    <t>Quantity</t>
  </si>
  <si>
    <t>EN ISO 20471 2013+A1:2016
EN 343 2003+A1:2007</t>
  </si>
  <si>
    <t>SMALL</t>
  </si>
  <si>
    <t>MEDIUM</t>
  </si>
  <si>
    <t>LARGE</t>
  </si>
  <si>
    <t>X-LARGE</t>
  </si>
  <si>
    <t>2X-LARGE</t>
  </si>
  <si>
    <t>3X-LARGE</t>
  </si>
  <si>
    <t>EN ISO 20471 2013+A1:2016
EN 343 2003+A1:2007
RIS-3279-TOM Issue 1</t>
  </si>
  <si>
    <t>THE JACKET WILL HAVE CLASS 3 IN THE PICTURE</t>
  </si>
  <si>
    <t>WATERPROOF TROUSERS</t>
  </si>
  <si>
    <t>THE JACKET WILL HAVE CLASS 2 IN THE PICTURE</t>
  </si>
  <si>
    <t>CONTRACTORS JACKET</t>
  </si>
  <si>
    <t>ITEM NO. 1 : HI VIS WATERPROOF TROUSERS 100% POLYESTER WITH PU COATING</t>
  </si>
  <si>
    <t>ELASTIC 32 mm woven</t>
  </si>
  <si>
    <t>METALLIC 4 PART SNAP BUTTON</t>
  </si>
  <si>
    <t>Woven Main Label (LOOP)</t>
  </si>
  <si>
    <t>EnduroPro Sticker</t>
  </si>
  <si>
    <t>Polybag (37 cms*43 cms (Flap: 7.5 cms))</t>
  </si>
  <si>
    <t>30 PCS/Box</t>
  </si>
  <si>
    <t>69 cms (Length) X 41 cms (Breadth) X 26 cms (Height)</t>
  </si>
  <si>
    <t>ITEM NO. 1 : HI VIS WATERPROOF UNLINED JACKET 100% POLYESTER WITH PU COATING</t>
  </si>
  <si>
    <t>8 No. Vislon SINGLE Puller</t>
  </si>
  <si>
    <t>Elastic 10 MM</t>
  </si>
  <si>
    <t>EnduroPRO Sticker</t>
  </si>
  <si>
    <t>40 PCS/Box</t>
  </si>
  <si>
    <t>Woven Hand Rib</t>
  </si>
  <si>
    <t>Stock</t>
  </si>
  <si>
    <t>XXL</t>
  </si>
  <si>
    <t>XXXL</t>
  </si>
  <si>
    <t>Zipper Measurements</t>
  </si>
  <si>
    <t>Order</t>
  </si>
  <si>
    <t xml:space="preserve">NEW </t>
  </si>
  <si>
    <t>Req</t>
  </si>
  <si>
    <t>SC01340</t>
  </si>
  <si>
    <t>SC01350</t>
  </si>
  <si>
    <t>SC01360</t>
  </si>
  <si>
    <t>SC01370</t>
  </si>
  <si>
    <t>SC01380</t>
  </si>
  <si>
    <t>SC01390</t>
  </si>
  <si>
    <t>SC01590</t>
  </si>
  <si>
    <t>SC01600</t>
  </si>
  <si>
    <t>SC01610</t>
  </si>
  <si>
    <t>SC01620</t>
  </si>
  <si>
    <t>SC02200</t>
  </si>
  <si>
    <t>SC02180</t>
  </si>
  <si>
    <t>SC02190</t>
  </si>
  <si>
    <t>SC02210</t>
  </si>
  <si>
    <t>SC02220</t>
  </si>
  <si>
    <t>SC02230</t>
  </si>
  <si>
    <t>UNLINED JACKET</t>
  </si>
  <si>
    <t>SC01093</t>
  </si>
  <si>
    <t>SC01094</t>
  </si>
  <si>
    <t>SC05761</t>
  </si>
  <si>
    <t>SC05762</t>
  </si>
  <si>
    <t>SC05763</t>
  </si>
  <si>
    <t>SC05764</t>
  </si>
  <si>
    <t>SC02250</t>
  </si>
  <si>
    <t>SC02260</t>
  </si>
  <si>
    <t>SC02270</t>
  </si>
  <si>
    <t>Contractor</t>
  </si>
  <si>
    <t>Unlined Jacket</t>
  </si>
  <si>
    <t>WP Trousers</t>
  </si>
  <si>
    <t>REQ</t>
  </si>
  <si>
    <t>STOCK</t>
  </si>
  <si>
    <t>ORDER</t>
  </si>
  <si>
    <t>ITEM NO. 1 : HI VIS WATERPROOF BOMBER JACKET 100% POLYESTER WITH PU COATING</t>
  </si>
  <si>
    <t>ELASTIC 50 MM Woven</t>
  </si>
  <si>
    <t>White</t>
  </si>
  <si>
    <t>Total</t>
  </si>
  <si>
    <t>8 No Vislon Signle Puller</t>
  </si>
  <si>
    <t>66 cms</t>
  </si>
  <si>
    <t>67.5 cms</t>
  </si>
  <si>
    <t>69 cms</t>
  </si>
  <si>
    <t>70.5 cms</t>
  </si>
  <si>
    <t>72 cms</t>
  </si>
  <si>
    <t>73.5 cms</t>
  </si>
  <si>
    <t>61.5 cms</t>
  </si>
  <si>
    <t>62.5 cms</t>
  </si>
  <si>
    <t>63.5 cms</t>
  </si>
  <si>
    <t>65.5 cms</t>
  </si>
  <si>
    <t>64.5 cms</t>
  </si>
  <si>
    <t>66.5 cms</t>
  </si>
  <si>
    <t>Unlined</t>
  </si>
  <si>
    <t>Bomber</t>
  </si>
  <si>
    <t>69.5 cms</t>
  </si>
  <si>
    <t>SC5760</t>
  </si>
  <si>
    <t>SC05765</t>
  </si>
  <si>
    <t>BOMBER JACKET</t>
  </si>
  <si>
    <t>SC01220</t>
  </si>
  <si>
    <t>SC01230</t>
  </si>
  <si>
    <t>SC01240</t>
  </si>
  <si>
    <t>SC01250</t>
  </si>
  <si>
    <t>SC01260</t>
  </si>
  <si>
    <t>SC01270</t>
  </si>
  <si>
    <t>SC01529</t>
  </si>
  <si>
    <t>SC01540</t>
  </si>
  <si>
    <t>SC01550</t>
  </si>
  <si>
    <t>SC01560</t>
  </si>
  <si>
    <t>SC01561</t>
  </si>
  <si>
    <t>PO No.:- 112854</t>
  </si>
  <si>
    <t>Poly Bag - LD 40 microns(37 cms (Width) X 
43 cms (Length) and 7.5 cms Flap)</t>
  </si>
  <si>
    <t xml:space="preserve"> Poly Bag - LD 40 microns 51 cms (Width) X 
81 cms (Length) (It will have not have any 
flaps)</t>
  </si>
  <si>
    <t>CONTRACTOR JACKET</t>
  </si>
  <si>
    <t xml:space="preserve">GIANT WEAR </t>
  </si>
  <si>
    <t>MAIN WOVEN LABEL</t>
  </si>
  <si>
    <t>MAIN WOVEN LABEL LOOP</t>
  </si>
  <si>
    <t>FLAG LABEL</t>
  </si>
  <si>
    <t>BATCH LABEL</t>
  </si>
  <si>
    <t>HEAT TRANSFER LABEL</t>
  </si>
  <si>
    <t>TAFETTA INSTRUCTION LABEL</t>
  </si>
  <si>
    <t>WOVEN SIZE LABEL</t>
  </si>
  <si>
    <t>glossy</t>
  </si>
  <si>
    <t>DATE - 09.12.2025</t>
  </si>
  <si>
    <t>BOMBER jacket</t>
  </si>
  <si>
    <t>450 yellow made extra</t>
  </si>
  <si>
    <t>HV Orange</t>
  </si>
  <si>
    <t>HV Yellow</t>
  </si>
  <si>
    <t>#122421</t>
  </si>
  <si>
    <t>6.65 gms puller</t>
  </si>
  <si>
    <t>2 head parts n 4 tail parts</t>
  </si>
  <si>
    <t>a &amp; b</t>
  </si>
  <si>
    <t>c &amp; d</t>
  </si>
  <si>
    <t>So, 4 part order</t>
  </si>
  <si>
    <t>30 gross</t>
  </si>
  <si>
    <t>c &amp; D</t>
  </si>
  <si>
    <t>SC01630</t>
  </si>
  <si>
    <t>SC02240</t>
  </si>
  <si>
    <t>SC02280</t>
  </si>
  <si>
    <t>SC02290</t>
  </si>
  <si>
    <t>SC01580</t>
  </si>
  <si>
    <t>SC01092</t>
  </si>
  <si>
    <t>SC01095</t>
  </si>
  <si>
    <t>PO NO 122421</t>
  </si>
  <si>
    <t>DATE - 02.01.2026</t>
  </si>
  <si>
    <t>DATE - 07.01.2026</t>
  </si>
  <si>
    <t>PO NO.: 122421</t>
  </si>
  <si>
    <t>DATE -16-01-2025</t>
  </si>
  <si>
    <t>PO 122421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</si>
</sst>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8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2" fontId="0" fillId="0" borderId="0" xfId="0" applyNumberFormat="1"/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2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3" fontId="0" fillId="0" borderId="0" xfId="0" applyNumberFormat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2982-0258-4367-B3EB-F48F780DD644}">
  <sheetPr>
    <pageSetUpPr fitToPage="1"/>
  </sheetPr>
  <dimension ref="A1:N33"/>
  <sheetViews>
    <sheetView tabSelected="1" workbookViewId="0">
      <selection activeCell="L5" sqref="L5"/>
    </sheetView>
  </sheetViews>
  <sheetFormatPr defaultRowHeight="15" x14ac:dyDescent="0.25"/>
  <cols>
    <col min="1" max="1" width="15.5703125" customWidth="1"/>
    <col min="2" max="2" width="22.7109375" customWidth="1"/>
    <col min="3" max="3" width="10.7109375" customWidth="1"/>
    <col min="7" max="7" width="11.140625" bestFit="1" customWidth="1"/>
    <col min="10" max="10" width="11.140625" bestFit="1" customWidth="1"/>
  </cols>
  <sheetData>
    <row r="1" spans="1:14" ht="22.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4" x14ac:dyDescent="0.25">
      <c r="A2" s="37" t="s">
        <v>35</v>
      </c>
      <c r="B2" s="38"/>
      <c r="C2" s="37"/>
      <c r="D2" s="39"/>
      <c r="E2" s="38"/>
      <c r="F2" s="40" t="s">
        <v>198</v>
      </c>
      <c r="G2" s="40"/>
      <c r="H2" s="41" t="s">
        <v>185</v>
      </c>
      <c r="I2" s="41"/>
      <c r="J2" s="41"/>
    </row>
    <row r="3" spans="1:14" x14ac:dyDescent="0.25">
      <c r="A3" s="35" t="s">
        <v>98</v>
      </c>
      <c r="B3" s="35"/>
      <c r="C3" s="35"/>
      <c r="D3" s="35"/>
      <c r="E3" s="35"/>
      <c r="F3" s="35"/>
      <c r="G3" s="35"/>
      <c r="H3" s="35"/>
      <c r="I3" s="35"/>
      <c r="J3" s="35"/>
    </row>
    <row r="4" spans="1:14" x14ac:dyDescent="0.25">
      <c r="A4" s="35" t="s">
        <v>1</v>
      </c>
      <c r="B4" s="35"/>
      <c r="C4" s="35"/>
      <c r="D4" s="35"/>
      <c r="E4" s="6" t="s">
        <v>9</v>
      </c>
      <c r="F4" s="4" t="s">
        <v>28</v>
      </c>
      <c r="G4" s="4"/>
      <c r="H4" s="4"/>
      <c r="I4" s="4"/>
      <c r="J4" s="4" t="s">
        <v>2</v>
      </c>
    </row>
    <row r="5" spans="1:14" x14ac:dyDescent="0.25">
      <c r="A5" s="35" t="s">
        <v>3</v>
      </c>
      <c r="B5" s="35"/>
      <c r="C5" s="35"/>
      <c r="D5" s="35"/>
      <c r="E5" s="4">
        <v>1500</v>
      </c>
      <c r="F5" s="4"/>
      <c r="G5" s="4"/>
      <c r="H5" s="4"/>
      <c r="I5" s="4"/>
      <c r="J5" s="4">
        <f>SUM(E5:I5)</f>
        <v>1500</v>
      </c>
      <c r="L5" t="s">
        <v>200</v>
      </c>
    </row>
    <row r="6" spans="1:14" x14ac:dyDescent="0.25">
      <c r="A6" s="35" t="s">
        <v>4</v>
      </c>
      <c r="B6" s="35"/>
      <c r="C6" s="35"/>
      <c r="D6" s="35"/>
      <c r="E6" s="4" t="s">
        <v>5</v>
      </c>
      <c r="F6" s="4" t="s">
        <v>6</v>
      </c>
      <c r="G6" s="6" t="s">
        <v>7</v>
      </c>
      <c r="H6" s="4" t="s">
        <v>8</v>
      </c>
      <c r="I6" s="4" t="s">
        <v>6</v>
      </c>
      <c r="J6" s="6" t="s">
        <v>7</v>
      </c>
    </row>
    <row r="7" spans="1:14" x14ac:dyDescent="0.25">
      <c r="A7" s="35" t="s">
        <v>36</v>
      </c>
      <c r="B7" s="35"/>
      <c r="C7" s="35"/>
      <c r="D7" s="4" t="s">
        <v>9</v>
      </c>
      <c r="E7" s="4">
        <v>1.53</v>
      </c>
      <c r="F7" s="4" t="s">
        <v>10</v>
      </c>
      <c r="G7" s="5"/>
      <c r="H7" s="33">
        <f>E7*E5</f>
        <v>2295</v>
      </c>
      <c r="I7" s="4" t="s">
        <v>10</v>
      </c>
      <c r="J7" s="4"/>
    </row>
    <row r="8" spans="1:14" x14ac:dyDescent="0.25">
      <c r="A8" s="35" t="s">
        <v>36</v>
      </c>
      <c r="B8" s="35"/>
      <c r="C8" s="35"/>
      <c r="D8" s="4" t="s">
        <v>28</v>
      </c>
      <c r="E8" s="4">
        <v>1.53</v>
      </c>
      <c r="F8" s="4" t="s">
        <v>10</v>
      </c>
      <c r="G8" s="5"/>
      <c r="H8" s="34">
        <f>F5*E8</f>
        <v>0</v>
      </c>
      <c r="I8" s="4" t="s">
        <v>10</v>
      </c>
      <c r="J8" s="4"/>
    </row>
    <row r="9" spans="1:14" x14ac:dyDescent="0.25">
      <c r="A9" s="42" t="s">
        <v>37</v>
      </c>
      <c r="B9" s="43"/>
      <c r="C9" s="44"/>
      <c r="D9" s="4" t="s">
        <v>11</v>
      </c>
      <c r="E9" s="4">
        <v>2.7</v>
      </c>
      <c r="F9" s="4" t="s">
        <v>10</v>
      </c>
      <c r="G9" s="5"/>
      <c r="H9" s="4">
        <f>J5*E9</f>
        <v>4050.0000000000005</v>
      </c>
      <c r="I9" s="8" t="s">
        <v>10</v>
      </c>
      <c r="J9" s="4"/>
    </row>
    <row r="10" spans="1:14" x14ac:dyDescent="0.25">
      <c r="A10" s="42" t="s">
        <v>99</v>
      </c>
      <c r="B10" s="43"/>
      <c r="C10" s="44"/>
      <c r="D10" s="2"/>
      <c r="E10" s="4">
        <v>1</v>
      </c>
      <c r="F10" s="4" t="s">
        <v>10</v>
      </c>
      <c r="G10" s="2"/>
      <c r="H10" s="33">
        <f>J5*E10</f>
        <v>1500</v>
      </c>
      <c r="I10" s="8" t="s">
        <v>10</v>
      </c>
      <c r="J10" s="2"/>
      <c r="L10" t="s">
        <v>205</v>
      </c>
    </row>
    <row r="11" spans="1:14" x14ac:dyDescent="0.25">
      <c r="A11" s="42" t="s">
        <v>38</v>
      </c>
      <c r="B11" s="43"/>
      <c r="C11" s="44"/>
      <c r="D11" s="2"/>
      <c r="E11" s="4">
        <v>12</v>
      </c>
      <c r="F11" s="4" t="s">
        <v>10</v>
      </c>
      <c r="G11" s="2"/>
      <c r="H11" s="4">
        <f>J5*E11</f>
        <v>18000</v>
      </c>
      <c r="I11" s="8" t="s">
        <v>10</v>
      </c>
      <c r="J11" s="2"/>
    </row>
    <row r="12" spans="1:14" x14ac:dyDescent="0.25">
      <c r="A12" s="42" t="s">
        <v>100</v>
      </c>
      <c r="B12" s="43"/>
      <c r="C12" s="44"/>
      <c r="D12" s="4"/>
      <c r="E12" s="4">
        <v>4</v>
      </c>
      <c r="F12" s="4" t="s">
        <v>12</v>
      </c>
      <c r="G12" s="2"/>
      <c r="H12" s="33">
        <f>E12*J5</f>
        <v>6000</v>
      </c>
      <c r="I12" s="8"/>
      <c r="J12" s="2"/>
      <c r="L12">
        <v>3900</v>
      </c>
      <c r="M12" t="s">
        <v>206</v>
      </c>
      <c r="N12">
        <f>L12/144</f>
        <v>27.083333333333332</v>
      </c>
    </row>
    <row r="13" spans="1:14" x14ac:dyDescent="0.25">
      <c r="A13" s="42"/>
      <c r="B13" s="43"/>
      <c r="C13" s="44"/>
      <c r="D13" s="4"/>
      <c r="E13" s="4" t="s">
        <v>14</v>
      </c>
      <c r="F13" s="4"/>
      <c r="G13" s="4" t="s">
        <v>15</v>
      </c>
      <c r="H13" s="4" t="s">
        <v>16</v>
      </c>
      <c r="I13" s="8"/>
      <c r="J13" s="4" t="s">
        <v>15</v>
      </c>
      <c r="L13">
        <v>7800</v>
      </c>
      <c r="M13" t="s">
        <v>207</v>
      </c>
      <c r="N13">
        <f>L13/144</f>
        <v>54.166666666666664</v>
      </c>
    </row>
    <row r="14" spans="1:14" x14ac:dyDescent="0.25">
      <c r="A14" s="35" t="s">
        <v>31</v>
      </c>
      <c r="B14" s="35"/>
      <c r="C14" s="35"/>
      <c r="D14" s="4" t="s">
        <v>9</v>
      </c>
      <c r="E14" s="4">
        <v>300</v>
      </c>
      <c r="F14" s="4" t="s">
        <v>10</v>
      </c>
      <c r="G14" s="5"/>
      <c r="H14" s="7"/>
      <c r="I14" s="4" t="s">
        <v>30</v>
      </c>
      <c r="J14" s="4"/>
    </row>
    <row r="15" spans="1:14" x14ac:dyDescent="0.25">
      <c r="A15" s="35" t="s">
        <v>31</v>
      </c>
      <c r="B15" s="35"/>
      <c r="C15" s="35"/>
      <c r="D15" s="4" t="s">
        <v>28</v>
      </c>
      <c r="E15" s="4">
        <v>300</v>
      </c>
      <c r="F15" s="4" t="s">
        <v>10</v>
      </c>
      <c r="G15" s="5"/>
      <c r="H15" s="7"/>
      <c r="I15" s="4" t="s">
        <v>30</v>
      </c>
      <c r="J15" s="4"/>
      <c r="L15" t="s">
        <v>208</v>
      </c>
      <c r="N15" t="s">
        <v>209</v>
      </c>
    </row>
    <row r="16" spans="1:14" x14ac:dyDescent="0.25">
      <c r="A16" s="35" t="s">
        <v>31</v>
      </c>
      <c r="B16" s="35"/>
      <c r="C16" s="35"/>
      <c r="D16" s="4" t="s">
        <v>11</v>
      </c>
      <c r="E16" s="4">
        <v>200</v>
      </c>
      <c r="F16" s="4" t="s">
        <v>10</v>
      </c>
      <c r="G16" s="5"/>
      <c r="H16" s="7"/>
      <c r="I16" s="4" t="s">
        <v>30</v>
      </c>
      <c r="J16" s="4"/>
      <c r="L16" t="s">
        <v>210</v>
      </c>
      <c r="N16" t="s">
        <v>209</v>
      </c>
    </row>
    <row r="17" spans="1:10" x14ac:dyDescent="0.25">
      <c r="A17" s="35" t="s">
        <v>101</v>
      </c>
      <c r="B17" s="35"/>
      <c r="C17" s="35"/>
      <c r="D17" s="35"/>
      <c r="E17" s="4">
        <v>1</v>
      </c>
      <c r="F17" s="4" t="s">
        <v>12</v>
      </c>
      <c r="G17" s="5"/>
      <c r="H17" s="33">
        <f>E17*J5</f>
        <v>1500</v>
      </c>
      <c r="I17" s="4" t="s">
        <v>13</v>
      </c>
      <c r="J17" s="4"/>
    </row>
    <row r="18" spans="1:10" x14ac:dyDescent="0.25">
      <c r="A18" s="35" t="s">
        <v>32</v>
      </c>
      <c r="B18" s="35"/>
      <c r="C18" s="35"/>
      <c r="D18" s="35"/>
      <c r="E18" s="4">
        <v>1</v>
      </c>
      <c r="F18" s="4" t="s">
        <v>12</v>
      </c>
      <c r="G18" s="5"/>
      <c r="H18" s="33">
        <f>E18*J5</f>
        <v>1500</v>
      </c>
      <c r="I18" s="4" t="s">
        <v>13</v>
      </c>
      <c r="J18" s="4"/>
    </row>
    <row r="19" spans="1:10" x14ac:dyDescent="0.25">
      <c r="A19" s="35" t="s">
        <v>33</v>
      </c>
      <c r="B19" s="35"/>
      <c r="C19" s="35"/>
      <c r="D19" s="35"/>
      <c r="E19" s="4">
        <v>1</v>
      </c>
      <c r="F19" s="4" t="s">
        <v>12</v>
      </c>
      <c r="G19" s="5"/>
      <c r="H19" s="33">
        <f>E19*J5</f>
        <v>1500</v>
      </c>
      <c r="I19" s="4" t="s">
        <v>13</v>
      </c>
      <c r="J19" s="4"/>
    </row>
    <row r="20" spans="1:10" x14ac:dyDescent="0.25">
      <c r="A20" s="35" t="s">
        <v>34</v>
      </c>
      <c r="B20" s="35"/>
      <c r="C20" s="35"/>
      <c r="D20" s="35"/>
      <c r="E20" s="4">
        <v>1</v>
      </c>
      <c r="F20" s="4" t="s">
        <v>12</v>
      </c>
      <c r="G20" s="5"/>
      <c r="H20" s="33">
        <f>E20*J5</f>
        <v>1500</v>
      </c>
      <c r="I20" s="4" t="s">
        <v>13</v>
      </c>
      <c r="J20" s="4"/>
    </row>
    <row r="21" spans="1:10" x14ac:dyDescent="0.25">
      <c r="A21" s="42" t="s">
        <v>52</v>
      </c>
      <c r="B21" s="43"/>
      <c r="C21" s="43"/>
      <c r="D21" s="44"/>
      <c r="E21" s="4">
        <v>1</v>
      </c>
      <c r="F21" s="4" t="s">
        <v>12</v>
      </c>
      <c r="G21" s="5"/>
      <c r="H21" s="4">
        <f>E21*J5</f>
        <v>1500</v>
      </c>
      <c r="I21" s="4" t="s">
        <v>13</v>
      </c>
      <c r="J21" s="4"/>
    </row>
    <row r="22" spans="1:10" x14ac:dyDescent="0.25">
      <c r="A22" s="42" t="s">
        <v>102</v>
      </c>
      <c r="B22" s="43"/>
      <c r="C22" s="43"/>
      <c r="D22" s="44"/>
      <c r="E22" s="4">
        <v>1</v>
      </c>
      <c r="F22" s="4" t="s">
        <v>12</v>
      </c>
      <c r="G22" s="5"/>
      <c r="H22" s="4">
        <f>E22*J5</f>
        <v>1500</v>
      </c>
      <c r="I22" s="4" t="s">
        <v>13</v>
      </c>
      <c r="J22" s="4"/>
    </row>
    <row r="23" spans="1:10" x14ac:dyDescent="0.25">
      <c r="A23" s="35" t="s">
        <v>103</v>
      </c>
      <c r="B23" s="35"/>
      <c r="C23" s="35"/>
      <c r="D23" s="35"/>
      <c r="E23" s="4">
        <v>1</v>
      </c>
      <c r="F23" s="4" t="s">
        <v>12</v>
      </c>
      <c r="G23" s="5"/>
      <c r="H23" s="4">
        <f>E23*J5</f>
        <v>1500</v>
      </c>
      <c r="I23" s="4" t="s">
        <v>13</v>
      </c>
      <c r="J23" s="4"/>
    </row>
    <row r="24" spans="1:10" x14ac:dyDescent="0.25">
      <c r="A24" s="35" t="s">
        <v>17</v>
      </c>
      <c r="B24" s="35"/>
      <c r="C24" s="4" t="s">
        <v>18</v>
      </c>
      <c r="D24" s="4" t="s">
        <v>19</v>
      </c>
      <c r="E24" s="4" t="s">
        <v>20</v>
      </c>
      <c r="F24" s="4" t="s">
        <v>21</v>
      </c>
      <c r="G24" s="4" t="s">
        <v>22</v>
      </c>
      <c r="H24" s="4" t="s">
        <v>23</v>
      </c>
      <c r="I24" s="4"/>
      <c r="J24" s="4" t="s">
        <v>2</v>
      </c>
    </row>
    <row r="25" spans="1:10" x14ac:dyDescent="0.25">
      <c r="A25" s="45" t="s">
        <v>9</v>
      </c>
      <c r="B25" s="45"/>
      <c r="C25" s="4">
        <v>170</v>
      </c>
      <c r="D25" s="4">
        <v>270</v>
      </c>
      <c r="E25" s="4">
        <v>470</v>
      </c>
      <c r="F25" s="4">
        <v>450</v>
      </c>
      <c r="G25" s="4">
        <v>100</v>
      </c>
      <c r="H25" s="4">
        <v>40</v>
      </c>
      <c r="I25" s="4"/>
      <c r="J25" s="4">
        <f>SUM(C25:I25)</f>
        <v>1500</v>
      </c>
    </row>
    <row r="26" spans="1:10" x14ac:dyDescent="0.25">
      <c r="A26" s="45" t="s">
        <v>28</v>
      </c>
      <c r="B26" s="45"/>
      <c r="C26" s="4"/>
      <c r="D26" s="4"/>
      <c r="E26" s="4"/>
      <c r="F26" s="4"/>
      <c r="G26" s="4"/>
      <c r="H26" s="4"/>
      <c r="I26" s="4"/>
      <c r="J26" s="4">
        <f>SUM(C26:I26)</f>
        <v>0</v>
      </c>
    </row>
    <row r="27" spans="1:10" x14ac:dyDescent="0.25">
      <c r="A27" s="35"/>
      <c r="B27" s="35"/>
      <c r="C27" s="4"/>
      <c r="D27" s="4"/>
      <c r="E27" s="4"/>
      <c r="F27" s="4"/>
      <c r="G27" s="4"/>
      <c r="H27" s="4"/>
      <c r="I27" s="4"/>
      <c r="J27" s="4">
        <f>SUM(J25:J26)</f>
        <v>1500</v>
      </c>
    </row>
    <row r="28" spans="1:10" x14ac:dyDescent="0.25">
      <c r="A28" s="42" t="s">
        <v>29</v>
      </c>
      <c r="B28" s="44"/>
      <c r="C28" s="4">
        <v>34</v>
      </c>
      <c r="D28" s="35" t="s">
        <v>104</v>
      </c>
      <c r="E28" s="35"/>
      <c r="F28" s="35" t="s">
        <v>105</v>
      </c>
      <c r="G28" s="35"/>
      <c r="H28" s="35"/>
      <c r="I28" s="35"/>
      <c r="J28" s="35"/>
    </row>
    <row r="29" spans="1:10" x14ac:dyDescent="0.25">
      <c r="A29" s="47" t="s">
        <v>25</v>
      </c>
      <c r="B29" s="47"/>
      <c r="C29" s="1"/>
      <c r="D29" s="47" t="s">
        <v>26</v>
      </c>
      <c r="E29" s="47"/>
      <c r="F29" s="1"/>
      <c r="G29" s="1"/>
      <c r="H29" s="47" t="s">
        <v>27</v>
      </c>
      <c r="I29" s="47"/>
      <c r="J29" s="47"/>
    </row>
    <row r="30" spans="1:10" x14ac:dyDescent="0.25">
      <c r="A30" s="46"/>
      <c r="B30" s="46"/>
      <c r="C30" s="1"/>
      <c r="D30" s="46"/>
      <c r="E30" s="46"/>
      <c r="F30" s="1"/>
      <c r="G30" s="1"/>
      <c r="H30" s="46"/>
      <c r="I30" s="46"/>
      <c r="J30" s="46"/>
    </row>
    <row r="31" spans="1:10" x14ac:dyDescent="0.25">
      <c r="A31" s="46"/>
      <c r="B31" s="46"/>
      <c r="C31" s="1"/>
      <c r="D31" s="46"/>
      <c r="E31" s="46"/>
      <c r="F31" s="1"/>
      <c r="G31" s="1"/>
      <c r="H31" s="46"/>
      <c r="I31" s="46"/>
      <c r="J31" s="46"/>
    </row>
    <row r="32" spans="1:10" x14ac:dyDescent="0.25">
      <c r="A32" s="46"/>
      <c r="B32" s="46"/>
      <c r="C32" s="1"/>
      <c r="D32" s="46"/>
      <c r="E32" s="46"/>
      <c r="F32" s="1"/>
      <c r="G32" s="1"/>
      <c r="H32" s="46"/>
      <c r="I32" s="46"/>
      <c r="J32" s="46"/>
    </row>
    <row r="33" spans="1:10" x14ac:dyDescent="0.25">
      <c r="A33" s="46"/>
      <c r="B33" s="46"/>
      <c r="C33" s="1"/>
      <c r="D33" s="46"/>
      <c r="E33" s="46"/>
      <c r="F33" s="1"/>
      <c r="G33" s="1"/>
      <c r="H33" s="46"/>
      <c r="I33" s="46"/>
      <c r="J33" s="46"/>
    </row>
  </sheetData>
  <mergeCells count="39">
    <mergeCell ref="A30:B33"/>
    <mergeCell ref="D30:E33"/>
    <mergeCell ref="H30:J33"/>
    <mergeCell ref="A28:B28"/>
    <mergeCell ref="D28:E28"/>
    <mergeCell ref="F28:J28"/>
    <mergeCell ref="A29:B29"/>
    <mergeCell ref="D29:E29"/>
    <mergeCell ref="H29:J29"/>
    <mergeCell ref="A27:B27"/>
    <mergeCell ref="A16:C16"/>
    <mergeCell ref="A17:D17"/>
    <mergeCell ref="A18:D18"/>
    <mergeCell ref="A19:D19"/>
    <mergeCell ref="A20:D20"/>
    <mergeCell ref="A21:D21"/>
    <mergeCell ref="A22:D22"/>
    <mergeCell ref="A23:D23"/>
    <mergeCell ref="A24:B24"/>
    <mergeCell ref="A25:B25"/>
    <mergeCell ref="A26:B26"/>
    <mergeCell ref="A15:C15"/>
    <mergeCell ref="A4:D4"/>
    <mergeCell ref="A5:D5"/>
    <mergeCell ref="A6:D6"/>
    <mergeCell ref="A7:C7"/>
    <mergeCell ref="A8:C8"/>
    <mergeCell ref="A9:C9"/>
    <mergeCell ref="A10:C10"/>
    <mergeCell ref="A11:C11"/>
    <mergeCell ref="A12:C12"/>
    <mergeCell ref="A13:C13"/>
    <mergeCell ref="A14:C14"/>
    <mergeCell ref="A3:J3"/>
    <mergeCell ref="A1:J1"/>
    <mergeCell ref="A2:B2"/>
    <mergeCell ref="C2:E2"/>
    <mergeCell ref="F2:G2"/>
    <mergeCell ref="H2:J2"/>
  </mergeCells>
  <pageMargins left="0.25" right="0.25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B273-71FA-4545-8E11-78883D84F2D9}">
  <sheetPr>
    <pageSetUpPr fitToPage="1"/>
  </sheetPr>
  <dimension ref="A1:Q49"/>
  <sheetViews>
    <sheetView workbookViewId="0">
      <selection activeCell="A22" sqref="A22:C22"/>
    </sheetView>
  </sheetViews>
  <sheetFormatPr defaultRowHeight="15" x14ac:dyDescent="0.25"/>
  <cols>
    <col min="2" max="2" width="21.42578125" customWidth="1"/>
    <col min="7" max="7" width="11.140625" bestFit="1" customWidth="1"/>
    <col min="10" max="10" width="11.140625" bestFit="1" customWidth="1"/>
    <col min="14" max="14" width="12.5703125" customWidth="1"/>
  </cols>
  <sheetData>
    <row r="1" spans="1:10" ht="22.5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x14ac:dyDescent="0.25">
      <c r="A2" s="37" t="s">
        <v>35</v>
      </c>
      <c r="B2" s="38"/>
      <c r="C2" s="37"/>
      <c r="D2" s="39"/>
      <c r="E2" s="38"/>
      <c r="F2" s="40" t="s">
        <v>219</v>
      </c>
      <c r="G2" s="40"/>
      <c r="H2" s="41" t="s">
        <v>218</v>
      </c>
      <c r="I2" s="41"/>
      <c r="J2" s="41"/>
    </row>
    <row r="3" spans="1:10" x14ac:dyDescent="0.25">
      <c r="A3" s="35" t="s">
        <v>106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 t="s">
        <v>1</v>
      </c>
      <c r="B4" s="35"/>
      <c r="C4" s="35"/>
      <c r="D4" s="35"/>
      <c r="E4" s="6" t="s">
        <v>9</v>
      </c>
      <c r="F4" s="4" t="s">
        <v>28</v>
      </c>
      <c r="G4" s="4"/>
      <c r="H4" s="4"/>
      <c r="I4" s="4"/>
      <c r="J4" s="4" t="s">
        <v>2</v>
      </c>
    </row>
    <row r="5" spans="1:10" x14ac:dyDescent="0.25">
      <c r="A5" s="35" t="s">
        <v>3</v>
      </c>
      <c r="B5" s="35"/>
      <c r="C5" s="35"/>
      <c r="D5" s="35"/>
      <c r="E5" s="4">
        <v>1370</v>
      </c>
      <c r="F5" s="4"/>
      <c r="G5" s="4"/>
      <c r="H5" s="4"/>
      <c r="I5" s="4"/>
      <c r="J5" s="4">
        <f>SUM(E5:I5)</f>
        <v>1370</v>
      </c>
    </row>
    <row r="6" spans="1:10" x14ac:dyDescent="0.25">
      <c r="A6" s="35" t="s">
        <v>4</v>
      </c>
      <c r="B6" s="35"/>
      <c r="C6" s="35"/>
      <c r="D6" s="35"/>
      <c r="E6" s="4" t="s">
        <v>5</v>
      </c>
      <c r="F6" s="4" t="s">
        <v>6</v>
      </c>
      <c r="G6" s="6" t="s">
        <v>7</v>
      </c>
      <c r="H6" s="4" t="s">
        <v>8</v>
      </c>
      <c r="I6" s="4" t="s">
        <v>6</v>
      </c>
      <c r="J6" s="6" t="s">
        <v>7</v>
      </c>
    </row>
    <row r="7" spans="1:10" x14ac:dyDescent="0.25">
      <c r="A7" s="35" t="s">
        <v>36</v>
      </c>
      <c r="B7" s="35"/>
      <c r="C7" s="35"/>
      <c r="D7" s="4" t="s">
        <v>9</v>
      </c>
      <c r="E7" s="4">
        <v>2.25</v>
      </c>
      <c r="F7" s="4" t="s">
        <v>10</v>
      </c>
      <c r="G7" s="5"/>
      <c r="H7" s="4">
        <f>E7*E5</f>
        <v>3082.5</v>
      </c>
      <c r="I7" s="4" t="s">
        <v>10</v>
      </c>
      <c r="J7" s="4"/>
    </row>
    <row r="8" spans="1:10" x14ac:dyDescent="0.25">
      <c r="A8" s="35" t="s">
        <v>36</v>
      </c>
      <c r="B8" s="35"/>
      <c r="C8" s="35"/>
      <c r="D8" s="4" t="s">
        <v>28</v>
      </c>
      <c r="E8" s="4">
        <v>2.25</v>
      </c>
      <c r="F8" s="4" t="s">
        <v>10</v>
      </c>
      <c r="G8" s="5"/>
      <c r="H8" s="4">
        <f>F5*E8</f>
        <v>0</v>
      </c>
      <c r="I8" s="4" t="s">
        <v>10</v>
      </c>
      <c r="J8" s="4"/>
    </row>
    <row r="9" spans="1:10" x14ac:dyDescent="0.25">
      <c r="A9" s="42" t="s">
        <v>41</v>
      </c>
      <c r="B9" s="43"/>
      <c r="C9" s="44"/>
      <c r="D9" s="4" t="s">
        <v>9</v>
      </c>
      <c r="E9" s="4">
        <v>0.3</v>
      </c>
      <c r="F9" s="4" t="s">
        <v>10</v>
      </c>
      <c r="G9" s="5"/>
      <c r="H9" s="4">
        <f>E9*E5</f>
        <v>411</v>
      </c>
      <c r="I9" s="4" t="s">
        <v>10</v>
      </c>
      <c r="J9" s="4"/>
    </row>
    <row r="10" spans="1:10" x14ac:dyDescent="0.25">
      <c r="A10" s="42" t="s">
        <v>41</v>
      </c>
      <c r="B10" s="43"/>
      <c r="C10" s="44"/>
      <c r="D10" s="4" t="s">
        <v>28</v>
      </c>
      <c r="E10" s="4">
        <v>0.3</v>
      </c>
      <c r="F10" s="4" t="s">
        <v>10</v>
      </c>
      <c r="G10" s="5"/>
      <c r="H10" s="4">
        <f>F5*E10</f>
        <v>0</v>
      </c>
      <c r="I10" s="4" t="s">
        <v>10</v>
      </c>
      <c r="J10" s="4"/>
    </row>
    <row r="11" spans="1:10" x14ac:dyDescent="0.25">
      <c r="A11" s="42" t="s">
        <v>37</v>
      </c>
      <c r="B11" s="43"/>
      <c r="C11" s="44"/>
      <c r="D11" s="4" t="s">
        <v>11</v>
      </c>
      <c r="E11" s="4">
        <v>6.9</v>
      </c>
      <c r="F11" s="4" t="s">
        <v>10</v>
      </c>
      <c r="G11" s="5"/>
      <c r="H11" s="4">
        <f>J5*E11</f>
        <v>9453</v>
      </c>
      <c r="I11" s="8" t="s">
        <v>10</v>
      </c>
      <c r="J11" s="4"/>
    </row>
    <row r="12" spans="1:10" x14ac:dyDescent="0.25">
      <c r="A12" s="42" t="s">
        <v>38</v>
      </c>
      <c r="B12" s="43"/>
      <c r="C12" s="44"/>
      <c r="D12" s="4"/>
      <c r="E12" s="4">
        <v>22</v>
      </c>
      <c r="F12" s="4" t="s">
        <v>10</v>
      </c>
      <c r="G12" s="2"/>
      <c r="H12" s="4">
        <f>J5*E12</f>
        <v>30140</v>
      </c>
      <c r="I12" s="8" t="s">
        <v>10</v>
      </c>
      <c r="J12" s="4"/>
    </row>
    <row r="13" spans="1:10" x14ac:dyDescent="0.25">
      <c r="A13" s="42" t="s">
        <v>107</v>
      </c>
      <c r="B13" s="43"/>
      <c r="C13" s="44"/>
      <c r="D13" s="4"/>
      <c r="E13" s="4">
        <v>1</v>
      </c>
      <c r="F13" s="4" t="s">
        <v>13</v>
      </c>
      <c r="G13" s="2"/>
      <c r="H13" s="4">
        <f>E13*J5</f>
        <v>1370</v>
      </c>
      <c r="I13" s="8" t="s">
        <v>13</v>
      </c>
      <c r="J13" s="4"/>
    </row>
    <row r="14" spans="1:10" x14ac:dyDescent="0.25">
      <c r="A14" s="42" t="s">
        <v>108</v>
      </c>
      <c r="B14" s="43"/>
      <c r="C14" s="44"/>
      <c r="D14" s="2"/>
      <c r="E14" s="4">
        <v>0.5</v>
      </c>
      <c r="F14" s="4" t="s">
        <v>10</v>
      </c>
      <c r="G14" s="2"/>
      <c r="H14" s="4">
        <f>E14*J5</f>
        <v>685</v>
      </c>
      <c r="I14" s="8" t="s">
        <v>10</v>
      </c>
      <c r="J14" s="2"/>
    </row>
    <row r="15" spans="1:10" x14ac:dyDescent="0.25">
      <c r="A15" s="42"/>
      <c r="B15" s="43"/>
      <c r="C15" s="44"/>
      <c r="D15" s="4"/>
      <c r="E15" s="4" t="s">
        <v>14</v>
      </c>
      <c r="F15" s="4"/>
      <c r="G15" s="4" t="s">
        <v>15</v>
      </c>
      <c r="H15" s="4" t="s">
        <v>16</v>
      </c>
      <c r="I15" s="8"/>
      <c r="J15" s="4" t="s">
        <v>15</v>
      </c>
    </row>
    <row r="16" spans="1:10" x14ac:dyDescent="0.25">
      <c r="A16" s="42" t="s">
        <v>42</v>
      </c>
      <c r="B16" s="43"/>
      <c r="C16" s="44"/>
      <c r="D16" s="4" t="s">
        <v>9</v>
      </c>
      <c r="E16" s="4">
        <f>G16*E5</f>
        <v>548</v>
      </c>
      <c r="F16" s="4" t="s">
        <v>10</v>
      </c>
      <c r="G16" s="4">
        <v>0.4</v>
      </c>
      <c r="H16" s="7">
        <f>J16*E5</f>
        <v>548</v>
      </c>
      <c r="I16" s="4" t="s">
        <v>10</v>
      </c>
      <c r="J16" s="4">
        <v>0.4</v>
      </c>
    </row>
    <row r="17" spans="1:10" x14ac:dyDescent="0.25">
      <c r="A17" s="42" t="s">
        <v>42</v>
      </c>
      <c r="B17" s="43"/>
      <c r="C17" s="44"/>
      <c r="D17" s="4" t="s">
        <v>28</v>
      </c>
      <c r="E17" s="4">
        <f>F5*G17</f>
        <v>0</v>
      </c>
      <c r="F17" s="4" t="s">
        <v>10</v>
      </c>
      <c r="G17" s="4">
        <v>0.4</v>
      </c>
      <c r="H17" s="7">
        <f>J17*F5</f>
        <v>0</v>
      </c>
      <c r="I17" s="4" t="s">
        <v>10</v>
      </c>
      <c r="J17" s="4">
        <v>0.4</v>
      </c>
    </row>
    <row r="18" spans="1:10" x14ac:dyDescent="0.25">
      <c r="A18" s="35" t="s">
        <v>31</v>
      </c>
      <c r="B18" s="35"/>
      <c r="C18" s="35"/>
      <c r="D18" s="4" t="s">
        <v>9</v>
      </c>
      <c r="E18" s="4">
        <v>300</v>
      </c>
      <c r="F18" s="4" t="s">
        <v>10</v>
      </c>
      <c r="G18" s="5"/>
      <c r="H18" s="7"/>
      <c r="I18" s="4" t="s">
        <v>30</v>
      </c>
      <c r="J18" s="4"/>
    </row>
    <row r="19" spans="1:10" x14ac:dyDescent="0.25">
      <c r="A19" s="35" t="s">
        <v>31</v>
      </c>
      <c r="B19" s="35"/>
      <c r="C19" s="35"/>
      <c r="D19" s="4" t="s">
        <v>28</v>
      </c>
      <c r="E19" s="4">
        <v>300</v>
      </c>
      <c r="F19" s="4" t="s">
        <v>10</v>
      </c>
      <c r="G19" s="5"/>
      <c r="H19" s="7"/>
      <c r="I19" s="4" t="s">
        <v>30</v>
      </c>
      <c r="J19" s="4"/>
    </row>
    <row r="20" spans="1:10" x14ac:dyDescent="0.25">
      <c r="A20" s="35" t="s">
        <v>31</v>
      </c>
      <c r="B20" s="35"/>
      <c r="C20" s="35"/>
      <c r="D20" s="4" t="s">
        <v>40</v>
      </c>
      <c r="E20" s="4">
        <v>300</v>
      </c>
      <c r="F20" s="4" t="s">
        <v>10</v>
      </c>
      <c r="G20" s="5"/>
      <c r="H20" s="7"/>
      <c r="I20" s="4" t="s">
        <v>30</v>
      </c>
      <c r="J20" s="4"/>
    </row>
    <row r="21" spans="1:10" x14ac:dyDescent="0.25">
      <c r="A21" s="35" t="s">
        <v>31</v>
      </c>
      <c r="B21" s="35"/>
      <c r="C21" s="35"/>
      <c r="D21" s="4" t="s">
        <v>11</v>
      </c>
      <c r="E21" s="4">
        <v>200</v>
      </c>
      <c r="F21" s="4" t="s">
        <v>10</v>
      </c>
      <c r="G21" s="5"/>
      <c r="H21" s="7"/>
      <c r="I21" s="4" t="s">
        <v>30</v>
      </c>
      <c r="J21" s="4"/>
    </row>
    <row r="22" spans="1:10" x14ac:dyDescent="0.25">
      <c r="A22" s="42" t="s">
        <v>43</v>
      </c>
      <c r="B22" s="43"/>
      <c r="C22" s="44"/>
      <c r="D22" s="4" t="s">
        <v>40</v>
      </c>
      <c r="E22" s="4">
        <v>1</v>
      </c>
      <c r="F22" s="4" t="s">
        <v>10</v>
      </c>
      <c r="G22" s="5"/>
      <c r="H22" s="7"/>
      <c r="I22" s="4">
        <f>E22*J5</f>
        <v>1370</v>
      </c>
      <c r="J22" s="4" t="s">
        <v>10</v>
      </c>
    </row>
    <row r="23" spans="1:10" x14ac:dyDescent="0.25">
      <c r="A23" s="42" t="s">
        <v>44</v>
      </c>
      <c r="B23" s="43"/>
      <c r="C23" s="44"/>
      <c r="D23" s="4" t="s">
        <v>40</v>
      </c>
      <c r="E23" s="4">
        <v>2</v>
      </c>
      <c r="F23" s="4" t="s">
        <v>13</v>
      </c>
      <c r="G23" s="5"/>
      <c r="H23" s="7"/>
      <c r="I23" s="4">
        <f>E23*J5</f>
        <v>2740</v>
      </c>
      <c r="J23" s="4" t="s">
        <v>13</v>
      </c>
    </row>
    <row r="24" spans="1:10" x14ac:dyDescent="0.25">
      <c r="A24" s="42" t="s">
        <v>53</v>
      </c>
      <c r="B24" s="43"/>
      <c r="C24" s="44"/>
      <c r="D24" s="4" t="s">
        <v>40</v>
      </c>
      <c r="E24" s="4">
        <v>2</v>
      </c>
      <c r="F24" s="4" t="s">
        <v>13</v>
      </c>
      <c r="G24" s="5"/>
      <c r="H24" s="7"/>
      <c r="I24" s="4">
        <f>E24*J5</f>
        <v>2740</v>
      </c>
      <c r="J24" s="4" t="s">
        <v>13</v>
      </c>
    </row>
    <row r="25" spans="1:10" x14ac:dyDescent="0.25">
      <c r="A25" s="42" t="s">
        <v>45</v>
      </c>
      <c r="B25" s="43"/>
      <c r="C25" s="44"/>
      <c r="D25" s="4" t="s">
        <v>40</v>
      </c>
      <c r="E25" s="4">
        <v>4</v>
      </c>
      <c r="F25" s="4" t="s">
        <v>13</v>
      </c>
      <c r="G25" s="5"/>
      <c r="H25" s="7"/>
      <c r="I25" s="4">
        <f>E25*J5</f>
        <v>5480</v>
      </c>
      <c r="J25" s="4" t="s">
        <v>13</v>
      </c>
    </row>
    <row r="26" spans="1:10" x14ac:dyDescent="0.25">
      <c r="A26" s="35" t="s">
        <v>101</v>
      </c>
      <c r="B26" s="35"/>
      <c r="C26" s="35"/>
      <c r="D26" s="35"/>
      <c r="E26" s="4">
        <v>1</v>
      </c>
      <c r="F26" s="4" t="s">
        <v>12</v>
      </c>
      <c r="G26" s="5"/>
      <c r="H26" s="4">
        <f>E26*J5</f>
        <v>1370</v>
      </c>
      <c r="I26" s="4" t="s">
        <v>13</v>
      </c>
      <c r="J26" s="4"/>
    </row>
    <row r="27" spans="1:10" x14ac:dyDescent="0.25">
      <c r="A27" s="42" t="s">
        <v>55</v>
      </c>
      <c r="B27" s="43"/>
      <c r="C27" s="43"/>
      <c r="D27" s="44"/>
      <c r="E27" s="4">
        <v>1</v>
      </c>
      <c r="F27" s="4" t="s">
        <v>12</v>
      </c>
      <c r="G27" s="5"/>
      <c r="H27" s="4">
        <f>E27*J5</f>
        <v>1370</v>
      </c>
      <c r="I27" s="4" t="s">
        <v>13</v>
      </c>
      <c r="J27" s="4"/>
    </row>
    <row r="28" spans="1:10" x14ac:dyDescent="0.25">
      <c r="A28" s="35" t="s">
        <v>32</v>
      </c>
      <c r="B28" s="35"/>
      <c r="C28" s="35"/>
      <c r="D28" s="35"/>
      <c r="E28" s="4">
        <v>1</v>
      </c>
      <c r="F28" s="4" t="s">
        <v>12</v>
      </c>
      <c r="G28" s="5"/>
      <c r="H28" s="4">
        <f>E28*J5</f>
        <v>1370</v>
      </c>
      <c r="I28" s="4" t="s">
        <v>13</v>
      </c>
      <c r="J28" s="4"/>
    </row>
    <row r="29" spans="1:10" x14ac:dyDescent="0.25">
      <c r="A29" s="35" t="s">
        <v>33</v>
      </c>
      <c r="B29" s="35"/>
      <c r="C29" s="35"/>
      <c r="D29" s="35"/>
      <c r="E29" s="4">
        <v>1</v>
      </c>
      <c r="F29" s="4" t="s">
        <v>12</v>
      </c>
      <c r="G29" s="5"/>
      <c r="H29" s="4">
        <f>E29*J5</f>
        <v>1370</v>
      </c>
      <c r="I29" s="4" t="s">
        <v>13</v>
      </c>
      <c r="J29" s="4"/>
    </row>
    <row r="30" spans="1:10" x14ac:dyDescent="0.25">
      <c r="A30" s="35" t="s">
        <v>52</v>
      </c>
      <c r="B30" s="35"/>
      <c r="C30" s="35"/>
      <c r="D30" s="35"/>
      <c r="E30" s="4">
        <v>2</v>
      </c>
      <c r="F30" s="4" t="s">
        <v>12</v>
      </c>
      <c r="G30" s="5"/>
      <c r="H30" s="4">
        <f>E30*J5</f>
        <v>2740</v>
      </c>
      <c r="I30" s="4" t="s">
        <v>13</v>
      </c>
      <c r="J30" s="4"/>
    </row>
    <row r="31" spans="1:10" x14ac:dyDescent="0.25">
      <c r="A31" s="35" t="s">
        <v>34</v>
      </c>
      <c r="B31" s="35"/>
      <c r="C31" s="35"/>
      <c r="D31" s="35"/>
      <c r="E31" s="4">
        <v>1</v>
      </c>
      <c r="F31" s="4" t="s">
        <v>12</v>
      </c>
      <c r="G31" s="5"/>
      <c r="H31" s="4">
        <f>E31*J5</f>
        <v>1370</v>
      </c>
      <c r="I31" s="4" t="s">
        <v>13</v>
      </c>
      <c r="J31" s="4"/>
    </row>
    <row r="32" spans="1:10" x14ac:dyDescent="0.25">
      <c r="A32" s="42" t="s">
        <v>109</v>
      </c>
      <c r="B32" s="43"/>
      <c r="C32" s="43"/>
      <c r="D32" s="44"/>
      <c r="E32" s="4">
        <v>1</v>
      </c>
      <c r="F32" s="4" t="s">
        <v>12</v>
      </c>
      <c r="G32" s="5"/>
      <c r="H32" s="4">
        <f>E32*J5</f>
        <v>1370</v>
      </c>
      <c r="I32" s="4" t="s">
        <v>13</v>
      </c>
      <c r="J32" s="4"/>
    </row>
    <row r="33" spans="1:17" x14ac:dyDescent="0.25">
      <c r="A33" s="35" t="s">
        <v>103</v>
      </c>
      <c r="B33" s="35"/>
      <c r="C33" s="35"/>
      <c r="D33" s="35"/>
      <c r="E33" s="4">
        <v>1</v>
      </c>
      <c r="F33" s="4" t="s">
        <v>12</v>
      </c>
      <c r="G33" s="5"/>
      <c r="H33" s="4">
        <f>E33*J5</f>
        <v>1370</v>
      </c>
      <c r="I33" s="4" t="s">
        <v>13</v>
      </c>
      <c r="J33" s="4"/>
    </row>
    <row r="34" spans="1:17" x14ac:dyDescent="0.25">
      <c r="A34" s="42" t="s">
        <v>46</v>
      </c>
      <c r="B34" s="44"/>
      <c r="C34" s="3" t="s">
        <v>40</v>
      </c>
      <c r="D34" s="4">
        <v>61.5</v>
      </c>
      <c r="E34" s="4">
        <v>1</v>
      </c>
      <c r="F34" s="4" t="s">
        <v>12</v>
      </c>
      <c r="G34" s="5"/>
      <c r="H34" s="4">
        <f>C41+C42</f>
        <v>0</v>
      </c>
      <c r="I34" s="4" t="s">
        <v>13</v>
      </c>
      <c r="J34" s="4"/>
    </row>
    <row r="35" spans="1:17" x14ac:dyDescent="0.25">
      <c r="A35" s="42" t="s">
        <v>46</v>
      </c>
      <c r="B35" s="44"/>
      <c r="C35" s="3" t="s">
        <v>40</v>
      </c>
      <c r="D35" s="4">
        <v>62.5</v>
      </c>
      <c r="E35" s="4">
        <v>1</v>
      </c>
      <c r="F35" s="4" t="s">
        <v>12</v>
      </c>
      <c r="G35" s="4"/>
      <c r="H35" s="4">
        <f>D41+D42</f>
        <v>450</v>
      </c>
      <c r="I35" s="4" t="s">
        <v>13</v>
      </c>
      <c r="J35" s="4"/>
      <c r="M35" t="s">
        <v>117</v>
      </c>
    </row>
    <row r="36" spans="1:17" x14ac:dyDescent="0.25">
      <c r="A36" s="42" t="s">
        <v>46</v>
      </c>
      <c r="B36" s="44"/>
      <c r="C36" s="3" t="s">
        <v>40</v>
      </c>
      <c r="D36" s="4">
        <v>63.5</v>
      </c>
      <c r="E36" s="4">
        <v>1</v>
      </c>
      <c r="F36" s="4" t="s">
        <v>12</v>
      </c>
      <c r="G36" s="4"/>
      <c r="H36" s="4">
        <f>E41+E42</f>
        <v>550</v>
      </c>
      <c r="I36" s="4" t="s">
        <v>13</v>
      </c>
      <c r="J36" s="4"/>
      <c r="M36" s="48" t="s">
        <v>115</v>
      </c>
      <c r="N36" s="48"/>
      <c r="O36" t="s">
        <v>118</v>
      </c>
      <c r="P36" t="s">
        <v>112</v>
      </c>
      <c r="Q36" t="s">
        <v>116</v>
      </c>
    </row>
    <row r="37" spans="1:17" x14ac:dyDescent="0.25">
      <c r="A37" s="42" t="s">
        <v>46</v>
      </c>
      <c r="B37" s="44"/>
      <c r="C37" s="3" t="s">
        <v>40</v>
      </c>
      <c r="D37" s="4">
        <v>65.5</v>
      </c>
      <c r="E37" s="4">
        <v>1</v>
      </c>
      <c r="F37" s="4" t="s">
        <v>12</v>
      </c>
      <c r="G37" s="4"/>
      <c r="H37" s="4">
        <f>F41+F42</f>
        <v>180</v>
      </c>
      <c r="I37" s="4" t="s">
        <v>13</v>
      </c>
      <c r="J37" s="4"/>
      <c r="M37" t="s">
        <v>18</v>
      </c>
      <c r="N37">
        <v>61.5</v>
      </c>
      <c r="O37">
        <v>200</v>
      </c>
      <c r="P37">
        <v>20</v>
      </c>
      <c r="Q37">
        <v>210</v>
      </c>
    </row>
    <row r="38" spans="1:17" x14ac:dyDescent="0.25">
      <c r="A38" s="42" t="s">
        <v>46</v>
      </c>
      <c r="B38" s="44"/>
      <c r="C38" s="3" t="s">
        <v>40</v>
      </c>
      <c r="D38" s="4">
        <v>67.5</v>
      </c>
      <c r="E38" s="4">
        <v>1</v>
      </c>
      <c r="F38" s="4" t="s">
        <v>12</v>
      </c>
      <c r="G38" s="5"/>
      <c r="H38" s="4">
        <f>G41+G42</f>
        <v>190</v>
      </c>
      <c r="I38" s="4" t="s">
        <v>13</v>
      </c>
      <c r="J38" s="4"/>
      <c r="M38" t="s">
        <v>19</v>
      </c>
      <c r="N38">
        <v>62.5</v>
      </c>
      <c r="O38">
        <v>500</v>
      </c>
      <c r="P38">
        <v>30</v>
      </c>
      <c r="Q38">
        <v>550</v>
      </c>
    </row>
    <row r="39" spans="1:17" x14ac:dyDescent="0.25">
      <c r="A39" s="42" t="s">
        <v>46</v>
      </c>
      <c r="B39" s="44"/>
      <c r="C39" s="3" t="s">
        <v>40</v>
      </c>
      <c r="D39" s="4">
        <v>69.5</v>
      </c>
      <c r="E39" s="4">
        <v>1</v>
      </c>
      <c r="F39" s="4" t="s">
        <v>12</v>
      </c>
      <c r="G39" s="5"/>
      <c r="H39" s="4">
        <f>H41+H42</f>
        <v>0</v>
      </c>
      <c r="I39" s="4" t="s">
        <v>13</v>
      </c>
      <c r="J39" s="4"/>
      <c r="M39" t="s">
        <v>20</v>
      </c>
      <c r="N39">
        <v>63.5</v>
      </c>
      <c r="O39">
        <v>660</v>
      </c>
      <c r="P39">
        <v>50</v>
      </c>
      <c r="Q39">
        <v>670</v>
      </c>
    </row>
    <row r="40" spans="1:17" x14ac:dyDescent="0.25">
      <c r="A40" s="35" t="s">
        <v>17</v>
      </c>
      <c r="B40" s="35"/>
      <c r="C40" s="4" t="s">
        <v>18</v>
      </c>
      <c r="D40" s="4" t="s">
        <v>19</v>
      </c>
      <c r="E40" s="4" t="s">
        <v>20</v>
      </c>
      <c r="F40" s="4" t="s">
        <v>21</v>
      </c>
      <c r="G40" s="4" t="s">
        <v>22</v>
      </c>
      <c r="H40" s="4" t="s">
        <v>23</v>
      </c>
      <c r="I40" s="4"/>
      <c r="J40" s="4" t="s">
        <v>2</v>
      </c>
      <c r="M40" t="s">
        <v>21</v>
      </c>
      <c r="N40">
        <v>65.5</v>
      </c>
      <c r="O40">
        <v>520</v>
      </c>
      <c r="P40">
        <v>30</v>
      </c>
      <c r="Q40">
        <v>530</v>
      </c>
    </row>
    <row r="41" spans="1:17" x14ac:dyDescent="0.25">
      <c r="A41" s="45" t="s">
        <v>9</v>
      </c>
      <c r="B41" s="45"/>
      <c r="C41" s="4"/>
      <c r="D41" s="4">
        <v>450</v>
      </c>
      <c r="E41" s="4">
        <v>550</v>
      </c>
      <c r="F41" s="4">
        <v>180</v>
      </c>
      <c r="G41" s="4">
        <v>190</v>
      </c>
      <c r="H41" s="4"/>
      <c r="I41" s="4"/>
      <c r="J41" s="4">
        <f>SUM(C41:I41)</f>
        <v>1370</v>
      </c>
      <c r="M41" t="s">
        <v>113</v>
      </c>
      <c r="N41">
        <v>67.5</v>
      </c>
      <c r="O41">
        <v>120</v>
      </c>
      <c r="P41">
        <v>0</v>
      </c>
      <c r="Q41">
        <v>140</v>
      </c>
    </row>
    <row r="42" spans="1:17" x14ac:dyDescent="0.25">
      <c r="A42" s="45" t="s">
        <v>28</v>
      </c>
      <c r="B42" s="45"/>
      <c r="C42" s="4"/>
      <c r="D42" s="4"/>
      <c r="E42" s="4"/>
      <c r="F42" s="4"/>
      <c r="G42" s="4"/>
      <c r="H42" s="4"/>
      <c r="I42" s="4"/>
      <c r="J42" s="4">
        <f>SUM(C42:I42)</f>
        <v>0</v>
      </c>
      <c r="M42" t="s">
        <v>114</v>
      </c>
      <c r="N42">
        <v>69.5</v>
      </c>
      <c r="O42">
        <v>0</v>
      </c>
      <c r="P42">
        <v>0</v>
      </c>
      <c r="Q42">
        <v>0</v>
      </c>
    </row>
    <row r="43" spans="1:17" x14ac:dyDescent="0.25">
      <c r="A43" s="35" t="s">
        <v>24</v>
      </c>
      <c r="B43" s="35"/>
      <c r="C43" s="4">
        <v>61.5</v>
      </c>
      <c r="D43" s="4">
        <v>62.5</v>
      </c>
      <c r="E43" s="4">
        <v>63.5</v>
      </c>
      <c r="F43" s="4">
        <v>65.5</v>
      </c>
      <c r="G43" s="4">
        <v>67.5</v>
      </c>
      <c r="H43" s="4">
        <v>69.5</v>
      </c>
      <c r="I43" s="4"/>
      <c r="J43" s="4">
        <f>SUM(J41:J42)</f>
        <v>1370</v>
      </c>
    </row>
    <row r="44" spans="1:17" x14ac:dyDescent="0.25">
      <c r="A44" s="42" t="s">
        <v>29</v>
      </c>
      <c r="B44" s="44"/>
      <c r="C44" s="4">
        <v>70</v>
      </c>
      <c r="D44" s="35" t="s">
        <v>110</v>
      </c>
      <c r="E44" s="35"/>
      <c r="F44" s="42" t="s">
        <v>58</v>
      </c>
      <c r="G44" s="43"/>
      <c r="H44" s="43"/>
      <c r="I44" s="43"/>
      <c r="J44" s="44"/>
    </row>
    <row r="45" spans="1:17" x14ac:dyDescent="0.25">
      <c r="A45" s="47" t="s">
        <v>25</v>
      </c>
      <c r="B45" s="47"/>
      <c r="C45" s="1"/>
      <c r="D45" s="47" t="s">
        <v>26</v>
      </c>
      <c r="E45" s="47"/>
      <c r="F45" s="1"/>
      <c r="G45" s="1"/>
      <c r="H45" s="47" t="s">
        <v>27</v>
      </c>
      <c r="I45" s="47"/>
      <c r="J45" s="47"/>
    </row>
    <row r="46" spans="1:17" x14ac:dyDescent="0.25">
      <c r="A46" s="46"/>
      <c r="B46" s="46"/>
      <c r="C46" s="1"/>
      <c r="D46" s="46"/>
      <c r="E46" s="46"/>
      <c r="F46" s="1"/>
      <c r="G46" s="1"/>
      <c r="H46" s="46"/>
      <c r="I46" s="46"/>
      <c r="J46" s="46"/>
    </row>
    <row r="47" spans="1:17" x14ac:dyDescent="0.25">
      <c r="A47" s="46"/>
      <c r="B47" s="46"/>
      <c r="C47" s="1"/>
      <c r="D47" s="46"/>
      <c r="E47" s="46"/>
      <c r="F47" s="1"/>
      <c r="G47" s="1"/>
      <c r="H47" s="46"/>
      <c r="I47" s="46"/>
      <c r="J47" s="46"/>
    </row>
    <row r="48" spans="1:17" x14ac:dyDescent="0.25">
      <c r="A48" s="46"/>
      <c r="B48" s="46"/>
      <c r="C48" s="1"/>
      <c r="D48" s="46"/>
      <c r="E48" s="46"/>
      <c r="F48" s="1"/>
      <c r="G48" s="1"/>
      <c r="H48" s="46"/>
      <c r="I48" s="46"/>
      <c r="J48" s="46"/>
    </row>
    <row r="49" spans="1:10" x14ac:dyDescent="0.25">
      <c r="A49" s="46"/>
      <c r="B49" s="46"/>
      <c r="C49" s="1"/>
      <c r="D49" s="46"/>
      <c r="E49" s="46"/>
      <c r="F49" s="1"/>
      <c r="G49" s="1"/>
      <c r="H49" s="46"/>
      <c r="I49" s="46"/>
      <c r="J49" s="46"/>
    </row>
  </sheetData>
  <mergeCells count="56">
    <mergeCell ref="F44:J44"/>
    <mergeCell ref="A45:B45"/>
    <mergeCell ref="D45:E45"/>
    <mergeCell ref="H45:J45"/>
    <mergeCell ref="A46:B49"/>
    <mergeCell ref="D46:E49"/>
    <mergeCell ref="H46:J49"/>
    <mergeCell ref="D44:E44"/>
    <mergeCell ref="A40:B40"/>
    <mergeCell ref="A41:B41"/>
    <mergeCell ref="A42:B42"/>
    <mergeCell ref="A43:B43"/>
    <mergeCell ref="A44:B44"/>
    <mergeCell ref="A39:B39"/>
    <mergeCell ref="A28:D28"/>
    <mergeCell ref="A29:D29"/>
    <mergeCell ref="A30:D30"/>
    <mergeCell ref="A31:D31"/>
    <mergeCell ref="A32:D32"/>
    <mergeCell ref="A33:D33"/>
    <mergeCell ref="A34:B34"/>
    <mergeCell ref="A35:B35"/>
    <mergeCell ref="A36:B36"/>
    <mergeCell ref="A37:B37"/>
    <mergeCell ref="A38:B38"/>
    <mergeCell ref="A12:C12"/>
    <mergeCell ref="A13:C13"/>
    <mergeCell ref="A14:C14"/>
    <mergeCell ref="A27:D27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D26"/>
    <mergeCell ref="M36:N36"/>
    <mergeCell ref="A3:J3"/>
    <mergeCell ref="A1:J1"/>
    <mergeCell ref="A2:B2"/>
    <mergeCell ref="C2:E2"/>
    <mergeCell ref="F2:G2"/>
    <mergeCell ref="H2:J2"/>
    <mergeCell ref="A15:C15"/>
    <mergeCell ref="A4:D4"/>
    <mergeCell ref="A5:D5"/>
    <mergeCell ref="A6:D6"/>
    <mergeCell ref="A7:C7"/>
    <mergeCell ref="A8:C8"/>
    <mergeCell ref="A9:C9"/>
    <mergeCell ref="A10:C10"/>
    <mergeCell ref="A11:C11"/>
  </mergeCells>
  <pageMargins left="0.25" right="0.25" top="0.75" bottom="0.75" header="0.3" footer="0.3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1"/>
  <sheetViews>
    <sheetView workbookViewId="0">
      <selection activeCell="E16" sqref="E16"/>
    </sheetView>
  </sheetViews>
  <sheetFormatPr defaultRowHeight="15" x14ac:dyDescent="0.25"/>
  <cols>
    <col min="2" max="2" width="14.85546875" customWidth="1"/>
    <col min="3" max="3" width="9.7109375" bestFit="1" customWidth="1"/>
    <col min="4" max="4" width="7.5703125" customWidth="1"/>
    <col min="7" max="7" width="11.140625" bestFit="1" customWidth="1"/>
    <col min="10" max="10" width="11.140625" bestFit="1" customWidth="1"/>
  </cols>
  <sheetData>
    <row r="1" spans="1:10" ht="22.5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x14ac:dyDescent="0.25">
      <c r="A2" s="37" t="s">
        <v>35</v>
      </c>
      <c r="B2" s="38"/>
      <c r="C2" s="37"/>
      <c r="D2" s="39"/>
      <c r="E2" s="38"/>
      <c r="F2" s="40" t="s">
        <v>222</v>
      </c>
      <c r="G2" s="40"/>
      <c r="H2" s="41" t="s">
        <v>223</v>
      </c>
      <c r="I2" s="41"/>
      <c r="J2" s="41"/>
    </row>
    <row r="3" spans="1:10" x14ac:dyDescent="0.25">
      <c r="A3" s="35" t="s">
        <v>47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 t="s">
        <v>1</v>
      </c>
      <c r="B4" s="35"/>
      <c r="C4" s="35"/>
      <c r="D4" s="35"/>
      <c r="E4" s="6" t="s">
        <v>9</v>
      </c>
      <c r="F4" s="4" t="s">
        <v>28</v>
      </c>
      <c r="G4" s="4"/>
      <c r="H4" s="4"/>
      <c r="I4" s="4"/>
      <c r="J4" s="4" t="s">
        <v>2</v>
      </c>
    </row>
    <row r="5" spans="1:10" x14ac:dyDescent="0.25">
      <c r="A5" s="35" t="s">
        <v>3</v>
      </c>
      <c r="B5" s="35"/>
      <c r="C5" s="35"/>
      <c r="D5" s="35"/>
      <c r="E5" s="4">
        <v>1820</v>
      </c>
      <c r="F5" s="4">
        <v>480</v>
      </c>
      <c r="G5" s="4"/>
      <c r="H5" s="4"/>
      <c r="I5" s="4"/>
      <c r="J5" s="4">
        <f>SUM(E5:I5)</f>
        <v>2300</v>
      </c>
    </row>
    <row r="6" spans="1:10" x14ac:dyDescent="0.25">
      <c r="A6" s="35" t="s">
        <v>4</v>
      </c>
      <c r="B6" s="35"/>
      <c r="C6" s="35"/>
      <c r="D6" s="35"/>
      <c r="E6" s="4" t="s">
        <v>5</v>
      </c>
      <c r="F6" s="4" t="s">
        <v>6</v>
      </c>
      <c r="G6" s="6" t="s">
        <v>7</v>
      </c>
      <c r="H6" s="4" t="s">
        <v>8</v>
      </c>
      <c r="I6" s="4" t="s">
        <v>6</v>
      </c>
      <c r="J6" s="6" t="s">
        <v>7</v>
      </c>
    </row>
    <row r="7" spans="1:10" x14ac:dyDescent="0.25">
      <c r="A7" s="35" t="s">
        <v>36</v>
      </c>
      <c r="B7" s="35"/>
      <c r="C7" s="35"/>
      <c r="D7" s="4" t="s">
        <v>9</v>
      </c>
      <c r="E7" s="4">
        <v>2.4500000000000002</v>
      </c>
      <c r="F7" s="4" t="s">
        <v>10</v>
      </c>
      <c r="G7" s="5"/>
      <c r="H7" s="4">
        <f>E7*E5</f>
        <v>4459</v>
      </c>
      <c r="I7" s="4" t="s">
        <v>10</v>
      </c>
      <c r="J7" s="4"/>
    </row>
    <row r="8" spans="1:10" x14ac:dyDescent="0.25">
      <c r="A8" s="35" t="s">
        <v>36</v>
      </c>
      <c r="B8" s="35"/>
      <c r="C8" s="35"/>
      <c r="D8" s="4" t="s">
        <v>28</v>
      </c>
      <c r="E8" s="4">
        <v>2.4500000000000002</v>
      </c>
      <c r="F8" s="4" t="s">
        <v>10</v>
      </c>
      <c r="G8" s="5"/>
      <c r="H8" s="4">
        <f>F5*E8</f>
        <v>1176</v>
      </c>
      <c r="I8" s="4" t="s">
        <v>10</v>
      </c>
      <c r="J8" s="4"/>
    </row>
    <row r="9" spans="1:10" x14ac:dyDescent="0.25">
      <c r="A9" s="42" t="s">
        <v>39</v>
      </c>
      <c r="B9" s="43"/>
      <c r="C9" s="44"/>
      <c r="D9" s="4" t="s">
        <v>40</v>
      </c>
      <c r="E9" s="4">
        <v>1.5</v>
      </c>
      <c r="F9" s="4" t="s">
        <v>10</v>
      </c>
      <c r="G9" s="5"/>
      <c r="H9" s="4">
        <f>J5*E9</f>
        <v>3450</v>
      </c>
      <c r="I9" s="4" t="s">
        <v>10</v>
      </c>
      <c r="J9" s="4"/>
    </row>
    <row r="10" spans="1:10" x14ac:dyDescent="0.25">
      <c r="A10" s="42" t="s">
        <v>41</v>
      </c>
      <c r="B10" s="43"/>
      <c r="C10" s="44"/>
      <c r="D10" s="4" t="s">
        <v>9</v>
      </c>
      <c r="E10" s="4">
        <v>0.25</v>
      </c>
      <c r="F10" s="4" t="s">
        <v>10</v>
      </c>
      <c r="G10" s="5"/>
      <c r="H10" s="4">
        <f>E10*E5</f>
        <v>455</v>
      </c>
      <c r="I10" s="4" t="s">
        <v>10</v>
      </c>
      <c r="J10" s="4"/>
    </row>
    <row r="11" spans="1:10" x14ac:dyDescent="0.25">
      <c r="A11" s="42" t="s">
        <v>41</v>
      </c>
      <c r="B11" s="43"/>
      <c r="C11" s="44"/>
      <c r="D11" s="4" t="s">
        <v>28</v>
      </c>
      <c r="E11" s="4">
        <v>0.25</v>
      </c>
      <c r="F11" s="4" t="s">
        <v>10</v>
      </c>
      <c r="G11" s="5"/>
      <c r="H11" s="4">
        <f>F5*E11</f>
        <v>120</v>
      </c>
      <c r="I11" s="4" t="s">
        <v>10</v>
      </c>
      <c r="J11" s="4"/>
    </row>
    <row r="12" spans="1:10" x14ac:dyDescent="0.25">
      <c r="A12" s="42" t="s">
        <v>37</v>
      </c>
      <c r="B12" s="43"/>
      <c r="C12" s="44"/>
      <c r="D12" s="4" t="s">
        <v>11</v>
      </c>
      <c r="E12" s="4">
        <v>6.9</v>
      </c>
      <c r="F12" s="4" t="s">
        <v>10</v>
      </c>
      <c r="G12" s="5"/>
      <c r="H12" s="4">
        <f>J5*E12</f>
        <v>15870</v>
      </c>
      <c r="I12" s="8" t="s">
        <v>10</v>
      </c>
      <c r="J12" s="4"/>
    </row>
    <row r="13" spans="1:10" x14ac:dyDescent="0.25">
      <c r="A13" s="42" t="s">
        <v>38</v>
      </c>
      <c r="B13" s="43"/>
      <c r="C13" s="44"/>
      <c r="D13" s="4"/>
      <c r="E13" s="4">
        <v>22</v>
      </c>
      <c r="F13" s="4" t="s">
        <v>10</v>
      </c>
      <c r="G13" s="2"/>
      <c r="H13" s="4">
        <f>J5*E13</f>
        <v>50600</v>
      </c>
      <c r="I13" s="8" t="s">
        <v>10</v>
      </c>
      <c r="J13" s="4">
        <f>H13/200</f>
        <v>253</v>
      </c>
    </row>
    <row r="14" spans="1:10" x14ac:dyDescent="0.25">
      <c r="A14" s="42" t="s">
        <v>51</v>
      </c>
      <c r="B14" s="43"/>
      <c r="C14" s="44"/>
      <c r="D14" s="4"/>
      <c r="E14" s="4">
        <v>1</v>
      </c>
      <c r="F14" s="4" t="s">
        <v>13</v>
      </c>
      <c r="G14" s="2"/>
      <c r="H14" s="4">
        <f>E14*J5</f>
        <v>2300</v>
      </c>
      <c r="I14" s="8" t="s">
        <v>13</v>
      </c>
      <c r="J14" s="4"/>
    </row>
    <row r="15" spans="1:10" x14ac:dyDescent="0.25">
      <c r="A15" s="42" t="s">
        <v>111</v>
      </c>
      <c r="B15" s="43"/>
      <c r="C15" s="44"/>
      <c r="D15" s="2"/>
      <c r="E15" s="4">
        <v>50</v>
      </c>
      <c r="F15" s="4" t="s">
        <v>48</v>
      </c>
      <c r="G15" s="2"/>
      <c r="H15" s="4">
        <f>E15*J5</f>
        <v>115000</v>
      </c>
      <c r="I15" s="8" t="s">
        <v>48</v>
      </c>
      <c r="J15" s="2"/>
    </row>
    <row r="16" spans="1:10" x14ac:dyDescent="0.25">
      <c r="A16" s="42"/>
      <c r="B16" s="43"/>
      <c r="C16" s="44"/>
      <c r="D16" s="4"/>
      <c r="E16" s="4" t="s">
        <v>14</v>
      </c>
      <c r="F16" s="4"/>
      <c r="G16" s="4" t="s">
        <v>15</v>
      </c>
      <c r="H16" s="4" t="s">
        <v>16</v>
      </c>
      <c r="I16" s="8"/>
      <c r="J16" s="4" t="s">
        <v>15</v>
      </c>
    </row>
    <row r="17" spans="1:10" x14ac:dyDescent="0.25">
      <c r="A17" s="42" t="s">
        <v>42</v>
      </c>
      <c r="B17" s="43"/>
      <c r="C17" s="44"/>
      <c r="D17" s="4" t="s">
        <v>9</v>
      </c>
      <c r="E17" s="4">
        <f>G17*E5</f>
        <v>728</v>
      </c>
      <c r="F17" s="4" t="s">
        <v>10</v>
      </c>
      <c r="G17" s="4">
        <v>0.4</v>
      </c>
      <c r="H17" s="7">
        <f>J17*E5</f>
        <v>728</v>
      </c>
      <c r="I17" s="4" t="s">
        <v>10</v>
      </c>
      <c r="J17" s="4">
        <v>0.4</v>
      </c>
    </row>
    <row r="18" spans="1:10" x14ac:dyDescent="0.25">
      <c r="A18" s="42" t="s">
        <v>42</v>
      </c>
      <c r="B18" s="43"/>
      <c r="C18" s="44"/>
      <c r="D18" s="4" t="s">
        <v>28</v>
      </c>
      <c r="E18" s="4">
        <f>F5*G18</f>
        <v>192</v>
      </c>
      <c r="F18" s="4" t="s">
        <v>10</v>
      </c>
      <c r="G18" s="4">
        <v>0.4</v>
      </c>
      <c r="H18" s="7">
        <f>J18*F5</f>
        <v>192</v>
      </c>
      <c r="I18" s="4" t="s">
        <v>10</v>
      </c>
      <c r="J18" s="4">
        <v>0.4</v>
      </c>
    </row>
    <row r="19" spans="1:10" x14ac:dyDescent="0.25">
      <c r="A19" s="35" t="s">
        <v>31</v>
      </c>
      <c r="B19" s="35"/>
      <c r="C19" s="35"/>
      <c r="D19" s="4" t="s">
        <v>9</v>
      </c>
      <c r="E19" s="4">
        <v>300</v>
      </c>
      <c r="F19" s="4" t="s">
        <v>10</v>
      </c>
      <c r="G19" s="5"/>
      <c r="H19" s="7"/>
      <c r="I19" s="4" t="s">
        <v>30</v>
      </c>
      <c r="J19" s="4"/>
    </row>
    <row r="20" spans="1:10" x14ac:dyDescent="0.25">
      <c r="A20" s="35" t="s">
        <v>31</v>
      </c>
      <c r="B20" s="35"/>
      <c r="C20" s="35"/>
      <c r="D20" s="4" t="s">
        <v>28</v>
      </c>
      <c r="E20" s="4">
        <v>300</v>
      </c>
      <c r="F20" s="4" t="s">
        <v>10</v>
      </c>
      <c r="G20" s="5"/>
      <c r="H20" s="7"/>
      <c r="I20" s="4" t="s">
        <v>30</v>
      </c>
      <c r="J20" s="4"/>
    </row>
    <row r="21" spans="1:10" x14ac:dyDescent="0.25">
      <c r="A21" s="35" t="s">
        <v>31</v>
      </c>
      <c r="B21" s="35"/>
      <c r="C21" s="35"/>
      <c r="D21" s="4" t="s">
        <v>40</v>
      </c>
      <c r="E21" s="4">
        <v>300</v>
      </c>
      <c r="F21" s="4" t="s">
        <v>10</v>
      </c>
      <c r="G21" s="5"/>
      <c r="H21" s="7"/>
      <c r="I21" s="4" t="s">
        <v>30</v>
      </c>
      <c r="J21" s="4"/>
    </row>
    <row r="22" spans="1:10" x14ac:dyDescent="0.25">
      <c r="A22" s="35" t="s">
        <v>31</v>
      </c>
      <c r="B22" s="35"/>
      <c r="C22" s="35"/>
      <c r="D22" s="4" t="s">
        <v>11</v>
      </c>
      <c r="E22" s="4">
        <v>200</v>
      </c>
      <c r="F22" s="4" t="s">
        <v>10</v>
      </c>
      <c r="G22" s="5"/>
      <c r="H22" s="7"/>
      <c r="I22" s="4" t="s">
        <v>30</v>
      </c>
      <c r="J22" s="4"/>
    </row>
    <row r="23" spans="1:10" x14ac:dyDescent="0.25">
      <c r="A23" s="42" t="s">
        <v>49</v>
      </c>
      <c r="B23" s="43"/>
      <c r="C23" s="44"/>
      <c r="D23" s="4" t="s">
        <v>40</v>
      </c>
      <c r="E23" s="4">
        <v>0.6</v>
      </c>
      <c r="F23" s="4" t="s">
        <v>10</v>
      </c>
      <c r="G23" s="5"/>
      <c r="H23" s="7"/>
      <c r="I23" s="4">
        <f>E23*J5</f>
        <v>1380</v>
      </c>
      <c r="J23" s="4" t="s">
        <v>10</v>
      </c>
    </row>
    <row r="24" spans="1:10" x14ac:dyDescent="0.25">
      <c r="A24" s="42" t="s">
        <v>43</v>
      </c>
      <c r="B24" s="43"/>
      <c r="C24" s="44"/>
      <c r="D24" s="4" t="s">
        <v>40</v>
      </c>
      <c r="E24" s="4">
        <v>1</v>
      </c>
      <c r="F24" s="4" t="s">
        <v>10</v>
      </c>
      <c r="G24" s="5"/>
      <c r="H24" s="7"/>
      <c r="I24" s="4">
        <f>E24*J5</f>
        <v>2300</v>
      </c>
      <c r="J24" s="4" t="s">
        <v>10</v>
      </c>
    </row>
    <row r="25" spans="1:10" x14ac:dyDescent="0.25">
      <c r="A25" s="42" t="s">
        <v>44</v>
      </c>
      <c r="B25" s="43"/>
      <c r="C25" s="44"/>
      <c r="D25" s="4" t="s">
        <v>40</v>
      </c>
      <c r="E25" s="4">
        <v>2</v>
      </c>
      <c r="F25" s="4" t="s">
        <v>13</v>
      </c>
      <c r="G25" s="5"/>
      <c r="H25" s="7"/>
      <c r="I25" s="4">
        <f>E25*J5</f>
        <v>4600</v>
      </c>
      <c r="J25" s="4" t="s">
        <v>13</v>
      </c>
    </row>
    <row r="26" spans="1:10" x14ac:dyDescent="0.25">
      <c r="A26" s="42" t="s">
        <v>53</v>
      </c>
      <c r="B26" s="43"/>
      <c r="C26" s="44"/>
      <c r="D26" s="4" t="s">
        <v>40</v>
      </c>
      <c r="E26" s="4">
        <v>2</v>
      </c>
      <c r="F26" s="4" t="s">
        <v>13</v>
      </c>
      <c r="G26" s="5"/>
      <c r="H26" s="7"/>
      <c r="I26" s="4">
        <f>E26*J5</f>
        <v>4600</v>
      </c>
      <c r="J26" s="4" t="s">
        <v>13</v>
      </c>
    </row>
    <row r="27" spans="1:10" x14ac:dyDescent="0.25">
      <c r="A27" s="42" t="s">
        <v>45</v>
      </c>
      <c r="B27" s="43"/>
      <c r="C27" s="44"/>
      <c r="D27" s="4"/>
      <c r="E27" s="4">
        <v>4</v>
      </c>
      <c r="F27" s="4" t="s">
        <v>13</v>
      </c>
      <c r="G27" s="5"/>
      <c r="H27" s="7"/>
      <c r="I27" s="4">
        <f>E27*J5</f>
        <v>9200</v>
      </c>
      <c r="J27" s="4" t="s">
        <v>13</v>
      </c>
    </row>
    <row r="28" spans="1:10" x14ac:dyDescent="0.25">
      <c r="A28" s="35" t="s">
        <v>54</v>
      </c>
      <c r="B28" s="35"/>
      <c r="C28" s="35"/>
      <c r="D28" s="35"/>
      <c r="E28" s="4">
        <v>1</v>
      </c>
      <c r="F28" s="4" t="s">
        <v>12</v>
      </c>
      <c r="G28" s="5"/>
      <c r="H28" s="4">
        <f>E28*J5</f>
        <v>2300</v>
      </c>
      <c r="I28" s="4" t="s">
        <v>13</v>
      </c>
      <c r="J28" s="4"/>
    </row>
    <row r="29" spans="1:10" x14ac:dyDescent="0.25">
      <c r="A29" s="42" t="s">
        <v>55</v>
      </c>
      <c r="B29" s="43"/>
      <c r="C29" s="43"/>
      <c r="D29" s="44"/>
      <c r="E29" s="4">
        <v>1</v>
      </c>
      <c r="F29" s="4" t="s">
        <v>12</v>
      </c>
      <c r="G29" s="5"/>
      <c r="H29" s="4">
        <f>E29*J5</f>
        <v>2300</v>
      </c>
      <c r="I29" s="4" t="s">
        <v>13</v>
      </c>
      <c r="J29" s="4"/>
    </row>
    <row r="30" spans="1:10" x14ac:dyDescent="0.25">
      <c r="A30" s="35" t="s">
        <v>32</v>
      </c>
      <c r="B30" s="35"/>
      <c r="C30" s="35"/>
      <c r="D30" s="35"/>
      <c r="E30" s="4">
        <v>1</v>
      </c>
      <c r="F30" s="4" t="s">
        <v>12</v>
      </c>
      <c r="G30" s="5"/>
      <c r="H30" s="4">
        <f>E30*J5</f>
        <v>2300</v>
      </c>
      <c r="I30" s="4" t="s">
        <v>13</v>
      </c>
      <c r="J30" s="4"/>
    </row>
    <row r="31" spans="1:10" x14ac:dyDescent="0.25">
      <c r="A31" s="35" t="s">
        <v>33</v>
      </c>
      <c r="B31" s="35"/>
      <c r="C31" s="35"/>
      <c r="D31" s="35"/>
      <c r="E31" s="4">
        <v>1</v>
      </c>
      <c r="F31" s="4" t="s">
        <v>12</v>
      </c>
      <c r="G31" s="5"/>
      <c r="H31" s="4">
        <f>E31*J5</f>
        <v>2300</v>
      </c>
      <c r="I31" s="4" t="s">
        <v>13</v>
      </c>
      <c r="J31" s="4"/>
    </row>
    <row r="32" spans="1:10" x14ac:dyDescent="0.25">
      <c r="A32" s="35" t="s">
        <v>34</v>
      </c>
      <c r="B32" s="35"/>
      <c r="C32" s="35"/>
      <c r="D32" s="35"/>
      <c r="E32" s="4">
        <v>1</v>
      </c>
      <c r="F32" s="4" t="s">
        <v>12</v>
      </c>
      <c r="G32" s="5"/>
      <c r="H32" s="4">
        <f>E32*J5</f>
        <v>2300</v>
      </c>
      <c r="I32" s="4" t="s">
        <v>13</v>
      </c>
      <c r="J32" s="4"/>
    </row>
    <row r="33" spans="1:10" x14ac:dyDescent="0.25">
      <c r="A33" s="42" t="s">
        <v>52</v>
      </c>
      <c r="B33" s="43"/>
      <c r="C33" s="43"/>
      <c r="D33" s="44"/>
      <c r="E33" s="4">
        <v>2</v>
      </c>
      <c r="F33" s="4" t="s">
        <v>12</v>
      </c>
      <c r="G33" s="5"/>
      <c r="H33" s="4">
        <f>E33*J5</f>
        <v>4600</v>
      </c>
      <c r="I33" s="4" t="s">
        <v>13</v>
      </c>
      <c r="J33" s="4"/>
    </row>
    <row r="34" spans="1:10" x14ac:dyDescent="0.25">
      <c r="A34" s="42" t="s">
        <v>50</v>
      </c>
      <c r="B34" s="43"/>
      <c r="C34" s="43"/>
      <c r="D34" s="44"/>
      <c r="E34" s="4">
        <v>1</v>
      </c>
      <c r="F34" s="4" t="s">
        <v>12</v>
      </c>
      <c r="G34" s="5"/>
      <c r="H34" s="4">
        <f>E34*J5</f>
        <v>2300</v>
      </c>
      <c r="I34" s="4" t="s">
        <v>13</v>
      </c>
      <c r="J34" s="4"/>
    </row>
    <row r="35" spans="1:10" x14ac:dyDescent="0.25">
      <c r="A35" s="35" t="s">
        <v>56</v>
      </c>
      <c r="B35" s="35"/>
      <c r="C35" s="35"/>
      <c r="D35" s="35"/>
      <c r="E35" s="4">
        <v>1</v>
      </c>
      <c r="F35" s="4" t="s">
        <v>12</v>
      </c>
      <c r="G35" s="5"/>
      <c r="H35" s="4">
        <f>E35*J5</f>
        <v>2300</v>
      </c>
      <c r="I35" s="4" t="s">
        <v>13</v>
      </c>
      <c r="J35" s="4"/>
    </row>
    <row r="36" spans="1:10" x14ac:dyDescent="0.25">
      <c r="A36" s="42" t="s">
        <v>51</v>
      </c>
      <c r="B36" s="44"/>
      <c r="C36" s="3" t="s">
        <v>40</v>
      </c>
      <c r="D36" s="4">
        <v>66</v>
      </c>
      <c r="E36" s="4">
        <v>1</v>
      </c>
      <c r="F36" s="4" t="s">
        <v>12</v>
      </c>
      <c r="G36" s="5"/>
      <c r="H36" s="4">
        <f>C43+C44</f>
        <v>60</v>
      </c>
      <c r="I36" s="4" t="s">
        <v>13</v>
      </c>
      <c r="J36" s="4"/>
    </row>
    <row r="37" spans="1:10" x14ac:dyDescent="0.25">
      <c r="A37" s="42" t="s">
        <v>51</v>
      </c>
      <c r="B37" s="44"/>
      <c r="C37" s="3" t="s">
        <v>40</v>
      </c>
      <c r="D37" s="4">
        <v>67.5</v>
      </c>
      <c r="E37" s="4">
        <v>1</v>
      </c>
      <c r="F37" s="4" t="s">
        <v>12</v>
      </c>
      <c r="G37" s="4"/>
      <c r="H37" s="4">
        <f>D43+D44</f>
        <v>580</v>
      </c>
      <c r="I37" s="4" t="s">
        <v>13</v>
      </c>
      <c r="J37" s="4"/>
    </row>
    <row r="38" spans="1:10" x14ac:dyDescent="0.25">
      <c r="A38" s="42" t="s">
        <v>51</v>
      </c>
      <c r="B38" s="44"/>
      <c r="C38" s="3" t="s">
        <v>40</v>
      </c>
      <c r="D38" s="4">
        <v>69</v>
      </c>
      <c r="E38" s="4">
        <v>1</v>
      </c>
      <c r="F38" s="4" t="s">
        <v>12</v>
      </c>
      <c r="G38" s="5"/>
      <c r="H38" s="4">
        <f>E43+E44</f>
        <v>810</v>
      </c>
      <c r="I38" s="4" t="s">
        <v>13</v>
      </c>
      <c r="J38" s="4"/>
    </row>
    <row r="39" spans="1:10" x14ac:dyDescent="0.25">
      <c r="A39" s="42" t="s">
        <v>51</v>
      </c>
      <c r="B39" s="44"/>
      <c r="C39" s="3" t="s">
        <v>40</v>
      </c>
      <c r="D39" s="4">
        <v>70.5</v>
      </c>
      <c r="E39" s="4">
        <v>1</v>
      </c>
      <c r="F39" s="4" t="s">
        <v>12</v>
      </c>
      <c r="G39" s="4"/>
      <c r="H39" s="4">
        <f>F43+F44</f>
        <v>480</v>
      </c>
      <c r="I39" s="4" t="s">
        <v>13</v>
      </c>
      <c r="J39" s="4"/>
    </row>
    <row r="40" spans="1:10" x14ac:dyDescent="0.25">
      <c r="A40" s="42" t="s">
        <v>51</v>
      </c>
      <c r="B40" s="44"/>
      <c r="C40" s="3" t="s">
        <v>40</v>
      </c>
      <c r="D40" s="4">
        <v>72</v>
      </c>
      <c r="E40" s="4">
        <v>1</v>
      </c>
      <c r="F40" s="4" t="s">
        <v>12</v>
      </c>
      <c r="G40" s="5"/>
      <c r="H40" s="4">
        <f>G43+G44</f>
        <v>260</v>
      </c>
      <c r="I40" s="4" t="s">
        <v>13</v>
      </c>
      <c r="J40" s="4"/>
    </row>
    <row r="41" spans="1:10" x14ac:dyDescent="0.25">
      <c r="A41" s="42" t="s">
        <v>51</v>
      </c>
      <c r="B41" s="44"/>
      <c r="C41" s="3" t="s">
        <v>40</v>
      </c>
      <c r="D41" s="4">
        <v>73.5</v>
      </c>
      <c r="E41" s="4">
        <v>1</v>
      </c>
      <c r="F41" s="4" t="s">
        <v>12</v>
      </c>
      <c r="G41" s="5"/>
      <c r="H41" s="4">
        <f>H43+H44</f>
        <v>110</v>
      </c>
      <c r="I41" s="4" t="s">
        <v>13</v>
      </c>
      <c r="J41" s="4"/>
    </row>
    <row r="42" spans="1:10" x14ac:dyDescent="0.25">
      <c r="A42" s="35" t="s">
        <v>17</v>
      </c>
      <c r="B42" s="35"/>
      <c r="C42" s="4" t="s">
        <v>18</v>
      </c>
      <c r="D42" s="4" t="s">
        <v>19</v>
      </c>
      <c r="E42" s="4" t="s">
        <v>20</v>
      </c>
      <c r="F42" s="4" t="s">
        <v>21</v>
      </c>
      <c r="G42" s="4" t="s">
        <v>22</v>
      </c>
      <c r="H42" s="4" t="s">
        <v>23</v>
      </c>
      <c r="I42" s="4"/>
      <c r="J42" s="4" t="s">
        <v>2</v>
      </c>
    </row>
    <row r="43" spans="1:10" x14ac:dyDescent="0.25">
      <c r="A43" s="45" t="s">
        <v>9</v>
      </c>
      <c r="B43" s="45"/>
      <c r="C43" s="4">
        <v>40</v>
      </c>
      <c r="D43" s="4">
        <v>480</v>
      </c>
      <c r="E43" s="4">
        <v>620</v>
      </c>
      <c r="F43" s="4">
        <v>380</v>
      </c>
      <c r="G43" s="4">
        <v>190</v>
      </c>
      <c r="H43" s="4">
        <v>110</v>
      </c>
      <c r="I43" s="4"/>
      <c r="J43" s="4">
        <f>SUM(C43:I43)</f>
        <v>1820</v>
      </c>
    </row>
    <row r="44" spans="1:10" x14ac:dyDescent="0.25">
      <c r="A44" s="45" t="s">
        <v>28</v>
      </c>
      <c r="B44" s="45"/>
      <c r="C44" s="4">
        <v>20</v>
      </c>
      <c r="D44" s="4">
        <v>100</v>
      </c>
      <c r="E44" s="4">
        <v>190</v>
      </c>
      <c r="F44" s="4">
        <v>100</v>
      </c>
      <c r="G44" s="4">
        <v>70</v>
      </c>
      <c r="H44" s="4">
        <v>0</v>
      </c>
      <c r="I44" s="4"/>
      <c r="J44" s="4">
        <f>SUM(C44:I44)</f>
        <v>480</v>
      </c>
    </row>
    <row r="45" spans="1:10" x14ac:dyDescent="0.25">
      <c r="A45" s="35" t="s">
        <v>24</v>
      </c>
      <c r="B45" s="35"/>
      <c r="C45" s="4">
        <v>66</v>
      </c>
      <c r="D45" s="4">
        <v>67.5</v>
      </c>
      <c r="E45" s="4">
        <v>69</v>
      </c>
      <c r="F45" s="4">
        <v>70.5</v>
      </c>
      <c r="G45" s="4">
        <v>72</v>
      </c>
      <c r="H45" s="4">
        <v>73.5</v>
      </c>
      <c r="I45" s="4"/>
      <c r="J45" s="4">
        <f>SUM(J43:J44)</f>
        <v>2300</v>
      </c>
    </row>
    <row r="46" spans="1:10" x14ac:dyDescent="0.25">
      <c r="A46" s="42" t="s">
        <v>29</v>
      </c>
      <c r="B46" s="44"/>
      <c r="C46" s="4">
        <v>240</v>
      </c>
      <c r="D46" s="35" t="s">
        <v>57</v>
      </c>
      <c r="E46" s="35"/>
      <c r="F46" s="42" t="s">
        <v>58</v>
      </c>
      <c r="G46" s="43"/>
      <c r="H46" s="43"/>
      <c r="I46" s="43"/>
      <c r="J46" s="44"/>
    </row>
    <row r="47" spans="1:10" x14ac:dyDescent="0.25">
      <c r="A47" s="47" t="s">
        <v>25</v>
      </c>
      <c r="B47" s="47"/>
      <c r="C47" s="1"/>
      <c r="D47" s="47" t="s">
        <v>26</v>
      </c>
      <c r="E47" s="47"/>
      <c r="F47" s="1"/>
      <c r="G47" s="1"/>
      <c r="H47" s="47" t="s">
        <v>27</v>
      </c>
      <c r="I47" s="47"/>
      <c r="J47" s="47"/>
    </row>
    <row r="48" spans="1:10" x14ac:dyDescent="0.25">
      <c r="A48" s="46"/>
      <c r="B48" s="46"/>
      <c r="C48" s="1"/>
      <c r="D48" s="46"/>
      <c r="E48" s="46"/>
      <c r="F48" s="1"/>
      <c r="G48" s="1"/>
      <c r="H48" s="46"/>
      <c r="I48" s="46"/>
      <c r="J48" s="46"/>
    </row>
    <row r="49" spans="1:10" x14ac:dyDescent="0.25">
      <c r="A49" s="46"/>
      <c r="B49" s="46"/>
      <c r="C49" s="1"/>
      <c r="D49" s="46"/>
      <c r="E49" s="46"/>
      <c r="F49" s="1"/>
      <c r="G49" s="1"/>
      <c r="H49" s="46"/>
      <c r="I49" s="46"/>
      <c r="J49" s="46"/>
    </row>
    <row r="50" spans="1:10" x14ac:dyDescent="0.25">
      <c r="A50" s="46"/>
      <c r="B50" s="46"/>
      <c r="C50" s="1"/>
      <c r="D50" s="46"/>
      <c r="E50" s="46"/>
      <c r="F50" s="1"/>
      <c r="G50" s="1"/>
      <c r="H50" s="46"/>
      <c r="I50" s="46"/>
      <c r="J50" s="46"/>
    </row>
    <row r="51" spans="1:10" x14ac:dyDescent="0.25">
      <c r="A51" s="46"/>
      <c r="B51" s="46"/>
      <c r="C51" s="1"/>
      <c r="D51" s="46"/>
      <c r="E51" s="46"/>
      <c r="F51" s="1"/>
      <c r="G51" s="1"/>
      <c r="H51" s="46"/>
      <c r="I51" s="46"/>
      <c r="J51" s="46"/>
    </row>
  </sheetData>
  <mergeCells count="57">
    <mergeCell ref="A9:C9"/>
    <mergeCell ref="A1:J1"/>
    <mergeCell ref="A2:B2"/>
    <mergeCell ref="C2:E2"/>
    <mergeCell ref="F2:G2"/>
    <mergeCell ref="H2:J2"/>
    <mergeCell ref="A3:J3"/>
    <mergeCell ref="A4:D4"/>
    <mergeCell ref="A5:D5"/>
    <mergeCell ref="A6:D6"/>
    <mergeCell ref="A7:C7"/>
    <mergeCell ref="A8:C8"/>
    <mergeCell ref="A27:C27"/>
    <mergeCell ref="A26:C26"/>
    <mergeCell ref="A10:C10"/>
    <mergeCell ref="A11:C11"/>
    <mergeCell ref="A12:C12"/>
    <mergeCell ref="A13:C13"/>
    <mergeCell ref="A14:C14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5:C15"/>
    <mergeCell ref="A45:B45"/>
    <mergeCell ref="A46:B46"/>
    <mergeCell ref="D46:E46"/>
    <mergeCell ref="A37:B37"/>
    <mergeCell ref="A40:B40"/>
    <mergeCell ref="A41:B41"/>
    <mergeCell ref="A42:B42"/>
    <mergeCell ref="A43:B43"/>
    <mergeCell ref="A44:B44"/>
    <mergeCell ref="A30:D30"/>
    <mergeCell ref="A31:D31"/>
    <mergeCell ref="A32:D32"/>
    <mergeCell ref="A34:D34"/>
    <mergeCell ref="A35:D35"/>
    <mergeCell ref="A28:D28"/>
    <mergeCell ref="A29:D29"/>
    <mergeCell ref="A33:D33"/>
    <mergeCell ref="A48:B51"/>
    <mergeCell ref="D48:E51"/>
    <mergeCell ref="H48:J51"/>
    <mergeCell ref="A47:B47"/>
    <mergeCell ref="D47:E47"/>
    <mergeCell ref="H47:J47"/>
    <mergeCell ref="A36:B36"/>
    <mergeCell ref="A38:B38"/>
    <mergeCell ref="A39:B39"/>
    <mergeCell ref="F46:J46"/>
  </mergeCells>
  <pageMargins left="0.25" right="0.25" top="0.75" bottom="0.75" header="0.3" footer="0.3"/>
  <pageSetup paperSize="9"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674F-44B1-461A-9377-0AB676ACF86E}">
  <sheetPr>
    <pageSetUpPr fitToPage="1"/>
  </sheetPr>
  <dimension ref="A1:J51"/>
  <sheetViews>
    <sheetView workbookViewId="0">
      <selection sqref="A1:J51"/>
    </sheetView>
  </sheetViews>
  <sheetFormatPr defaultRowHeight="15" x14ac:dyDescent="0.25"/>
  <cols>
    <col min="2" max="2" width="15.85546875" customWidth="1"/>
    <col min="3" max="3" width="19.28515625" customWidth="1"/>
    <col min="10" max="10" width="11.140625" bestFit="1" customWidth="1"/>
  </cols>
  <sheetData>
    <row r="1" spans="1:10" ht="22.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25">
      <c r="A2" s="37" t="s">
        <v>35</v>
      </c>
      <c r="B2" s="38"/>
      <c r="C2" s="37"/>
      <c r="D2" s="39"/>
      <c r="E2" s="38"/>
      <c r="F2" s="40" t="s">
        <v>220</v>
      </c>
      <c r="G2" s="40"/>
      <c r="H2" s="41" t="s">
        <v>221</v>
      </c>
      <c r="I2" s="41"/>
      <c r="J2" s="41"/>
    </row>
    <row r="3" spans="1:10" x14ac:dyDescent="0.25">
      <c r="A3" s="35" t="s">
        <v>151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5">
      <c r="A4" s="35" t="s">
        <v>1</v>
      </c>
      <c r="B4" s="35"/>
      <c r="C4" s="35"/>
      <c r="D4" s="35"/>
      <c r="E4" s="6" t="s">
        <v>9</v>
      </c>
      <c r="F4" s="4" t="s">
        <v>28</v>
      </c>
      <c r="G4" s="4"/>
      <c r="H4" s="4"/>
      <c r="I4" s="4"/>
      <c r="J4" s="4" t="s">
        <v>2</v>
      </c>
    </row>
    <row r="5" spans="1:10" x14ac:dyDescent="0.25">
      <c r="A5" s="35" t="s">
        <v>3</v>
      </c>
      <c r="B5" s="35"/>
      <c r="C5" s="35"/>
      <c r="D5" s="35"/>
      <c r="E5" s="4">
        <v>1010</v>
      </c>
      <c r="F5" s="4">
        <v>600</v>
      </c>
      <c r="G5" s="4"/>
      <c r="H5" s="4"/>
      <c r="I5" s="4"/>
      <c r="J5" s="4">
        <f>SUM(E5:I5)</f>
        <v>1610</v>
      </c>
    </row>
    <row r="6" spans="1:10" x14ac:dyDescent="0.25">
      <c r="A6" s="35" t="s">
        <v>4</v>
      </c>
      <c r="B6" s="35"/>
      <c r="C6" s="35"/>
      <c r="D6" s="35"/>
      <c r="E6" s="4" t="s">
        <v>5</v>
      </c>
      <c r="F6" s="4" t="s">
        <v>6</v>
      </c>
      <c r="G6" s="6" t="s">
        <v>7</v>
      </c>
      <c r="H6" s="4" t="s">
        <v>8</v>
      </c>
      <c r="I6" s="4" t="s">
        <v>6</v>
      </c>
      <c r="J6" s="6" t="s">
        <v>7</v>
      </c>
    </row>
    <row r="7" spans="1:10" x14ac:dyDescent="0.25">
      <c r="A7" s="35" t="s">
        <v>36</v>
      </c>
      <c r="B7" s="35"/>
      <c r="C7" s="35"/>
      <c r="D7" s="4" t="s">
        <v>9</v>
      </c>
      <c r="E7" s="4">
        <v>2.15</v>
      </c>
      <c r="F7" s="4" t="s">
        <v>10</v>
      </c>
      <c r="G7" s="5"/>
      <c r="H7" s="4">
        <f>E7*E5</f>
        <v>2171.5</v>
      </c>
      <c r="I7" s="4" t="s">
        <v>10</v>
      </c>
      <c r="J7" s="4"/>
    </row>
    <row r="8" spans="1:10" x14ac:dyDescent="0.25">
      <c r="A8" s="35" t="s">
        <v>36</v>
      </c>
      <c r="B8" s="35"/>
      <c r="C8" s="35"/>
      <c r="D8" s="4" t="s">
        <v>28</v>
      </c>
      <c r="E8" s="4">
        <v>2.15</v>
      </c>
      <c r="F8" s="4" t="s">
        <v>10</v>
      </c>
      <c r="G8" s="5"/>
      <c r="H8" s="4">
        <f>F5*E8</f>
        <v>1290</v>
      </c>
      <c r="I8" s="4" t="s">
        <v>10</v>
      </c>
      <c r="J8" s="4"/>
    </row>
    <row r="9" spans="1:10" x14ac:dyDescent="0.25">
      <c r="A9" s="42" t="s">
        <v>39</v>
      </c>
      <c r="B9" s="43"/>
      <c r="C9" s="44"/>
      <c r="D9" s="4" t="s">
        <v>40</v>
      </c>
      <c r="E9" s="4">
        <v>1.5</v>
      </c>
      <c r="F9" s="4" t="s">
        <v>10</v>
      </c>
      <c r="G9" s="5"/>
      <c r="H9" s="4">
        <f>J5*E9</f>
        <v>2415</v>
      </c>
      <c r="I9" s="4" t="s">
        <v>10</v>
      </c>
      <c r="J9" s="4"/>
    </row>
    <row r="10" spans="1:10" x14ac:dyDescent="0.25">
      <c r="A10" s="42" t="s">
        <v>41</v>
      </c>
      <c r="B10" s="43"/>
      <c r="C10" s="44"/>
      <c r="D10" s="4" t="s">
        <v>9</v>
      </c>
      <c r="E10" s="4">
        <v>0.25</v>
      </c>
      <c r="F10" s="4" t="s">
        <v>10</v>
      </c>
      <c r="G10" s="5"/>
      <c r="H10" s="4">
        <f>E10*E5</f>
        <v>252.5</v>
      </c>
      <c r="I10" s="4" t="s">
        <v>10</v>
      </c>
      <c r="J10" s="4"/>
    </row>
    <row r="11" spans="1:10" x14ac:dyDescent="0.25">
      <c r="A11" s="42" t="s">
        <v>41</v>
      </c>
      <c r="B11" s="43"/>
      <c r="C11" s="44"/>
      <c r="D11" s="4" t="s">
        <v>28</v>
      </c>
      <c r="E11" s="4">
        <v>0.25</v>
      </c>
      <c r="F11" s="4" t="s">
        <v>10</v>
      </c>
      <c r="G11" s="5"/>
      <c r="H11" s="4">
        <f>F5*E11</f>
        <v>150</v>
      </c>
      <c r="I11" s="4" t="s">
        <v>10</v>
      </c>
      <c r="J11" s="4"/>
    </row>
    <row r="12" spans="1:10" x14ac:dyDescent="0.25">
      <c r="A12" s="42" t="s">
        <v>37</v>
      </c>
      <c r="B12" s="43"/>
      <c r="C12" s="44"/>
      <c r="D12" s="4" t="s">
        <v>11</v>
      </c>
      <c r="E12" s="4">
        <v>6.65</v>
      </c>
      <c r="F12" s="4" t="s">
        <v>10</v>
      </c>
      <c r="G12" s="5"/>
      <c r="H12" s="4">
        <f>J5*E12</f>
        <v>10706.5</v>
      </c>
      <c r="I12" s="8" t="s">
        <v>10</v>
      </c>
      <c r="J12" s="4"/>
    </row>
    <row r="13" spans="1:10" x14ac:dyDescent="0.25">
      <c r="A13" s="42" t="s">
        <v>38</v>
      </c>
      <c r="B13" s="43"/>
      <c r="C13" s="44"/>
      <c r="D13" s="4"/>
      <c r="E13" s="4">
        <v>22</v>
      </c>
      <c r="F13" s="4" t="s">
        <v>10</v>
      </c>
      <c r="G13" s="2"/>
      <c r="H13" s="4">
        <f>J5*E13</f>
        <v>35420</v>
      </c>
      <c r="I13" s="8" t="s">
        <v>10</v>
      </c>
      <c r="J13" s="4"/>
    </row>
    <row r="14" spans="1:10" x14ac:dyDescent="0.25">
      <c r="A14" s="42" t="s">
        <v>46</v>
      </c>
      <c r="B14" s="43"/>
      <c r="C14" s="44"/>
      <c r="D14" s="4"/>
      <c r="E14" s="4">
        <v>1</v>
      </c>
      <c r="F14" s="4" t="s">
        <v>13</v>
      </c>
      <c r="G14" s="2"/>
      <c r="H14" s="4">
        <f>E14*J5</f>
        <v>1610</v>
      </c>
      <c r="I14" s="8" t="s">
        <v>13</v>
      </c>
      <c r="J14" s="4"/>
    </row>
    <row r="15" spans="1:10" x14ac:dyDescent="0.25">
      <c r="A15" s="42" t="s">
        <v>152</v>
      </c>
      <c r="B15" s="43"/>
      <c r="C15" s="44"/>
      <c r="D15" s="4" t="s">
        <v>153</v>
      </c>
      <c r="E15" s="4">
        <v>1.5</v>
      </c>
      <c r="F15" s="4" t="s">
        <v>10</v>
      </c>
      <c r="G15" s="2"/>
      <c r="H15" s="4">
        <f>J5*E15</f>
        <v>2415</v>
      </c>
      <c r="I15" s="8" t="s">
        <v>10</v>
      </c>
      <c r="J15" s="2"/>
    </row>
    <row r="16" spans="1:10" x14ac:dyDescent="0.25">
      <c r="A16" s="42"/>
      <c r="B16" s="43"/>
      <c r="C16" s="44"/>
      <c r="D16" s="4"/>
      <c r="E16" s="4" t="s">
        <v>14</v>
      </c>
      <c r="F16" s="4"/>
      <c r="G16" s="4" t="s">
        <v>15</v>
      </c>
      <c r="H16" s="4" t="s">
        <v>16</v>
      </c>
      <c r="I16" s="8"/>
      <c r="J16" s="4" t="s">
        <v>15</v>
      </c>
    </row>
    <row r="17" spans="1:10" x14ac:dyDescent="0.25">
      <c r="A17" s="42" t="s">
        <v>42</v>
      </c>
      <c r="B17" s="43"/>
      <c r="C17" s="44"/>
      <c r="D17" s="4" t="s">
        <v>9</v>
      </c>
      <c r="E17" s="4">
        <f>G17*E5</f>
        <v>404</v>
      </c>
      <c r="F17" s="4" t="s">
        <v>10</v>
      </c>
      <c r="G17" s="4">
        <v>0.4</v>
      </c>
      <c r="H17" s="7">
        <f>J17*E5</f>
        <v>404</v>
      </c>
      <c r="I17" s="4" t="s">
        <v>10</v>
      </c>
      <c r="J17" s="4">
        <v>0.4</v>
      </c>
    </row>
    <row r="18" spans="1:10" x14ac:dyDescent="0.25">
      <c r="A18" s="42" t="s">
        <v>42</v>
      </c>
      <c r="B18" s="43"/>
      <c r="C18" s="44"/>
      <c r="D18" s="4" t="s">
        <v>28</v>
      </c>
      <c r="E18" s="4">
        <f>F5*G18</f>
        <v>240</v>
      </c>
      <c r="F18" s="4" t="s">
        <v>10</v>
      </c>
      <c r="G18" s="4">
        <v>0.4</v>
      </c>
      <c r="H18" s="7">
        <f>J18*F5</f>
        <v>240</v>
      </c>
      <c r="I18" s="4" t="s">
        <v>10</v>
      </c>
      <c r="J18" s="4">
        <v>0.4</v>
      </c>
    </row>
    <row r="19" spans="1:10" x14ac:dyDescent="0.25">
      <c r="A19" s="35" t="s">
        <v>31</v>
      </c>
      <c r="B19" s="35"/>
      <c r="C19" s="35"/>
      <c r="D19" s="4" t="s">
        <v>9</v>
      </c>
      <c r="E19" s="4">
        <v>300</v>
      </c>
      <c r="F19" s="4" t="s">
        <v>10</v>
      </c>
      <c r="G19" s="5"/>
      <c r="H19" s="7"/>
      <c r="I19" s="4" t="s">
        <v>30</v>
      </c>
      <c r="J19" s="4"/>
    </row>
    <row r="20" spans="1:10" x14ac:dyDescent="0.25">
      <c r="A20" s="35" t="s">
        <v>31</v>
      </c>
      <c r="B20" s="35"/>
      <c r="C20" s="35"/>
      <c r="D20" s="4" t="s">
        <v>28</v>
      </c>
      <c r="E20" s="4">
        <v>300</v>
      </c>
      <c r="F20" s="4" t="s">
        <v>10</v>
      </c>
      <c r="G20" s="5"/>
      <c r="H20" s="7"/>
      <c r="I20" s="4" t="s">
        <v>30</v>
      </c>
      <c r="J20" s="4"/>
    </row>
    <row r="21" spans="1:10" x14ac:dyDescent="0.25">
      <c r="A21" s="35" t="s">
        <v>31</v>
      </c>
      <c r="B21" s="35"/>
      <c r="C21" s="35"/>
      <c r="D21" s="4" t="s">
        <v>40</v>
      </c>
      <c r="E21" s="4">
        <v>300</v>
      </c>
      <c r="F21" s="4" t="s">
        <v>10</v>
      </c>
      <c r="G21" s="5"/>
      <c r="H21" s="7"/>
      <c r="I21" s="4" t="s">
        <v>30</v>
      </c>
      <c r="J21" s="4"/>
    </row>
    <row r="22" spans="1:10" x14ac:dyDescent="0.25">
      <c r="A22" s="35" t="s">
        <v>31</v>
      </c>
      <c r="B22" s="35"/>
      <c r="C22" s="35"/>
      <c r="D22" s="4" t="s">
        <v>11</v>
      </c>
      <c r="E22" s="4">
        <v>200</v>
      </c>
      <c r="F22" s="4" t="s">
        <v>10</v>
      </c>
      <c r="G22" s="5"/>
      <c r="H22" s="7"/>
      <c r="I22" s="4" t="s">
        <v>30</v>
      </c>
      <c r="J22" s="4"/>
    </row>
    <row r="23" spans="1:10" x14ac:dyDescent="0.25">
      <c r="A23" s="42" t="s">
        <v>49</v>
      </c>
      <c r="B23" s="43"/>
      <c r="C23" s="44"/>
      <c r="D23" s="4" t="s">
        <v>40</v>
      </c>
      <c r="E23" s="4">
        <v>0.6</v>
      </c>
      <c r="F23" s="4" t="s">
        <v>10</v>
      </c>
      <c r="G23" s="5"/>
      <c r="H23" s="7"/>
      <c r="I23" s="4">
        <f>E23*J5</f>
        <v>966</v>
      </c>
      <c r="J23" s="4" t="s">
        <v>10</v>
      </c>
    </row>
    <row r="24" spans="1:10" x14ac:dyDescent="0.25">
      <c r="A24" s="42" t="s">
        <v>43</v>
      </c>
      <c r="B24" s="43"/>
      <c r="C24" s="44"/>
      <c r="D24" s="4" t="s">
        <v>40</v>
      </c>
      <c r="E24" s="4">
        <v>1</v>
      </c>
      <c r="F24" s="4" t="s">
        <v>10</v>
      </c>
      <c r="G24" s="5"/>
      <c r="H24" s="7"/>
      <c r="I24" s="4">
        <f>E24*J5</f>
        <v>1610</v>
      </c>
      <c r="J24" s="4" t="s">
        <v>10</v>
      </c>
    </row>
    <row r="25" spans="1:10" x14ac:dyDescent="0.25">
      <c r="A25" s="42" t="s">
        <v>44</v>
      </c>
      <c r="B25" s="43"/>
      <c r="C25" s="44"/>
      <c r="D25" s="4" t="s">
        <v>40</v>
      </c>
      <c r="E25" s="4">
        <v>2</v>
      </c>
      <c r="F25" s="4" t="s">
        <v>13</v>
      </c>
      <c r="G25" s="5"/>
      <c r="H25" s="7"/>
      <c r="I25" s="4">
        <f>E25*J5</f>
        <v>3220</v>
      </c>
      <c r="J25" s="4" t="s">
        <v>13</v>
      </c>
    </row>
    <row r="26" spans="1:10" x14ac:dyDescent="0.25">
      <c r="A26" s="42" t="s">
        <v>53</v>
      </c>
      <c r="B26" s="43"/>
      <c r="C26" s="44"/>
      <c r="D26" s="4" t="s">
        <v>40</v>
      </c>
      <c r="E26" s="4">
        <v>2</v>
      </c>
      <c r="F26" s="4" t="s">
        <v>13</v>
      </c>
      <c r="G26" s="5"/>
      <c r="H26" s="7"/>
      <c r="I26" s="4">
        <f>E26*J5</f>
        <v>3220</v>
      </c>
      <c r="J26" s="4" t="s">
        <v>13</v>
      </c>
    </row>
    <row r="27" spans="1:10" x14ac:dyDescent="0.25">
      <c r="A27" s="42" t="s">
        <v>45</v>
      </c>
      <c r="B27" s="43"/>
      <c r="C27" s="44"/>
      <c r="D27" s="4"/>
      <c r="E27" s="4">
        <v>4</v>
      </c>
      <c r="F27" s="4" t="s">
        <v>13</v>
      </c>
      <c r="G27" s="5"/>
      <c r="H27" s="7"/>
      <c r="I27" s="4">
        <f>E27*J5</f>
        <v>6440</v>
      </c>
      <c r="J27" s="4" t="s">
        <v>13</v>
      </c>
    </row>
    <row r="28" spans="1:10" x14ac:dyDescent="0.25">
      <c r="A28" s="35" t="s">
        <v>54</v>
      </c>
      <c r="B28" s="35"/>
      <c r="C28" s="35"/>
      <c r="D28" s="35"/>
      <c r="E28" s="4">
        <v>1</v>
      </c>
      <c r="F28" s="4" t="s">
        <v>12</v>
      </c>
      <c r="G28" s="5"/>
      <c r="H28" s="4">
        <f>E28*J5</f>
        <v>1610</v>
      </c>
      <c r="I28" s="4" t="s">
        <v>13</v>
      </c>
      <c r="J28" s="4"/>
    </row>
    <row r="29" spans="1:10" x14ac:dyDescent="0.25">
      <c r="A29" s="42" t="s">
        <v>55</v>
      </c>
      <c r="B29" s="43"/>
      <c r="C29" s="43"/>
      <c r="D29" s="44"/>
      <c r="E29" s="4">
        <v>1</v>
      </c>
      <c r="F29" s="4" t="s">
        <v>12</v>
      </c>
      <c r="G29" s="5"/>
      <c r="H29" s="4">
        <f>E29*J5</f>
        <v>1610</v>
      </c>
      <c r="I29" s="4" t="s">
        <v>13</v>
      </c>
      <c r="J29" s="4"/>
    </row>
    <row r="30" spans="1:10" x14ac:dyDescent="0.25">
      <c r="A30" s="35" t="s">
        <v>32</v>
      </c>
      <c r="B30" s="35"/>
      <c r="C30" s="35"/>
      <c r="D30" s="35"/>
      <c r="E30" s="4">
        <v>1</v>
      </c>
      <c r="F30" s="4" t="s">
        <v>12</v>
      </c>
      <c r="G30" s="5"/>
      <c r="H30" s="4">
        <f>E30*J5</f>
        <v>1610</v>
      </c>
      <c r="I30" s="4" t="s">
        <v>13</v>
      </c>
      <c r="J30" s="4"/>
    </row>
    <row r="31" spans="1:10" x14ac:dyDescent="0.25">
      <c r="A31" s="35" t="s">
        <v>33</v>
      </c>
      <c r="B31" s="35"/>
      <c r="C31" s="35"/>
      <c r="D31" s="35"/>
      <c r="E31" s="4">
        <v>1</v>
      </c>
      <c r="F31" s="4" t="s">
        <v>12</v>
      </c>
      <c r="G31" s="5"/>
      <c r="H31" s="4">
        <f>E31*J5</f>
        <v>1610</v>
      </c>
      <c r="I31" s="4" t="s">
        <v>13</v>
      </c>
      <c r="J31" s="4"/>
    </row>
    <row r="32" spans="1:10" x14ac:dyDescent="0.25">
      <c r="A32" s="35" t="s">
        <v>34</v>
      </c>
      <c r="B32" s="35"/>
      <c r="C32" s="35"/>
      <c r="D32" s="35"/>
      <c r="E32" s="4">
        <v>1</v>
      </c>
      <c r="F32" s="4" t="s">
        <v>12</v>
      </c>
      <c r="G32" s="5"/>
      <c r="H32" s="4">
        <f>E32*J5</f>
        <v>1610</v>
      </c>
      <c r="I32" s="4" t="s">
        <v>13</v>
      </c>
      <c r="J32" s="4"/>
    </row>
    <row r="33" spans="1:10" x14ac:dyDescent="0.25">
      <c r="A33" s="42" t="s">
        <v>52</v>
      </c>
      <c r="B33" s="43"/>
      <c r="C33" s="43"/>
      <c r="D33" s="44"/>
      <c r="E33" s="4">
        <v>2</v>
      </c>
      <c r="F33" s="4" t="s">
        <v>12</v>
      </c>
      <c r="G33" s="5"/>
      <c r="H33" s="4">
        <f>E33*J5</f>
        <v>3220</v>
      </c>
      <c r="I33" s="4" t="s">
        <v>13</v>
      </c>
      <c r="J33" s="4"/>
    </row>
    <row r="34" spans="1:10" x14ac:dyDescent="0.25">
      <c r="A34" s="42" t="s">
        <v>50</v>
      </c>
      <c r="B34" s="43"/>
      <c r="C34" s="43"/>
      <c r="D34" s="44"/>
      <c r="E34" s="4">
        <v>1</v>
      </c>
      <c r="F34" s="4" t="s">
        <v>12</v>
      </c>
      <c r="G34" s="5"/>
      <c r="H34" s="4">
        <f>E34*J5</f>
        <v>1610</v>
      </c>
      <c r="I34" s="4" t="s">
        <v>13</v>
      </c>
      <c r="J34" s="4"/>
    </row>
    <row r="35" spans="1:10" x14ac:dyDescent="0.25">
      <c r="A35" s="35" t="s">
        <v>56</v>
      </c>
      <c r="B35" s="35"/>
      <c r="C35" s="35"/>
      <c r="D35" s="35"/>
      <c r="E35" s="4">
        <v>1</v>
      </c>
      <c r="F35" s="4" t="s">
        <v>12</v>
      </c>
      <c r="G35" s="5"/>
      <c r="H35" s="4">
        <f>E35*J5</f>
        <v>1610</v>
      </c>
      <c r="I35" s="4" t="s">
        <v>13</v>
      </c>
      <c r="J35" s="4"/>
    </row>
    <row r="36" spans="1:10" x14ac:dyDescent="0.25">
      <c r="A36" s="42" t="s">
        <v>46</v>
      </c>
      <c r="B36" s="44"/>
      <c r="C36" s="3" t="s">
        <v>40</v>
      </c>
      <c r="D36" s="4"/>
      <c r="E36" s="4">
        <v>1</v>
      </c>
      <c r="F36" s="4" t="s">
        <v>12</v>
      </c>
      <c r="G36" s="5"/>
      <c r="H36" s="4">
        <f>C43+C44</f>
        <v>90</v>
      </c>
      <c r="I36" s="4" t="s">
        <v>13</v>
      </c>
      <c r="J36" s="4"/>
    </row>
    <row r="37" spans="1:10" x14ac:dyDescent="0.25">
      <c r="A37" s="42" t="s">
        <v>46</v>
      </c>
      <c r="B37" s="44"/>
      <c r="C37" s="3" t="s">
        <v>40</v>
      </c>
      <c r="D37" s="4"/>
      <c r="E37" s="4">
        <v>1</v>
      </c>
      <c r="F37" s="4" t="s">
        <v>12</v>
      </c>
      <c r="G37" s="4"/>
      <c r="H37" s="4">
        <f>D43+D44</f>
        <v>370</v>
      </c>
      <c r="I37" s="4" t="s">
        <v>13</v>
      </c>
      <c r="J37" s="4"/>
    </row>
    <row r="38" spans="1:10" x14ac:dyDescent="0.25">
      <c r="A38" s="42" t="s">
        <v>46</v>
      </c>
      <c r="B38" s="44"/>
      <c r="C38" s="3" t="s">
        <v>40</v>
      </c>
      <c r="D38" s="4"/>
      <c r="E38" s="4">
        <v>1</v>
      </c>
      <c r="F38" s="4" t="s">
        <v>12</v>
      </c>
      <c r="G38" s="5"/>
      <c r="H38" s="4">
        <f>E43+E44</f>
        <v>720</v>
      </c>
      <c r="I38" s="4" t="s">
        <v>13</v>
      </c>
      <c r="J38" s="4"/>
    </row>
    <row r="39" spans="1:10" x14ac:dyDescent="0.25">
      <c r="A39" s="42" t="s">
        <v>46</v>
      </c>
      <c r="B39" s="44"/>
      <c r="C39" s="3" t="s">
        <v>40</v>
      </c>
      <c r="D39" s="4"/>
      <c r="E39" s="4">
        <v>1</v>
      </c>
      <c r="F39" s="4" t="s">
        <v>12</v>
      </c>
      <c r="G39" s="4"/>
      <c r="H39" s="4">
        <f>F43+F44</f>
        <v>290</v>
      </c>
      <c r="I39" s="4" t="s">
        <v>13</v>
      </c>
      <c r="J39" s="4"/>
    </row>
    <row r="40" spans="1:10" x14ac:dyDescent="0.25">
      <c r="A40" s="42" t="s">
        <v>46</v>
      </c>
      <c r="B40" s="44"/>
      <c r="C40" s="3" t="s">
        <v>40</v>
      </c>
      <c r="D40" s="4"/>
      <c r="E40" s="4">
        <v>1</v>
      </c>
      <c r="F40" s="4" t="s">
        <v>12</v>
      </c>
      <c r="G40" s="5"/>
      <c r="H40" s="4">
        <f>G43+G44</f>
        <v>80</v>
      </c>
      <c r="I40" s="4" t="s">
        <v>13</v>
      </c>
      <c r="J40" s="4"/>
    </row>
    <row r="41" spans="1:10" x14ac:dyDescent="0.25">
      <c r="A41" s="42" t="s">
        <v>46</v>
      </c>
      <c r="B41" s="44"/>
      <c r="C41" s="3" t="s">
        <v>40</v>
      </c>
      <c r="D41" s="4"/>
      <c r="E41" s="4">
        <v>1</v>
      </c>
      <c r="F41" s="4" t="s">
        <v>12</v>
      </c>
      <c r="G41" s="5"/>
      <c r="H41" s="4">
        <f>H43+H44</f>
        <v>60</v>
      </c>
      <c r="I41" s="4" t="s">
        <v>13</v>
      </c>
      <c r="J41" s="4"/>
    </row>
    <row r="42" spans="1:10" x14ac:dyDescent="0.25">
      <c r="A42" s="35" t="s">
        <v>17</v>
      </c>
      <c r="B42" s="35"/>
      <c r="C42" s="4" t="s">
        <v>18</v>
      </c>
      <c r="D42" s="4" t="s">
        <v>19</v>
      </c>
      <c r="E42" s="4" t="s">
        <v>20</v>
      </c>
      <c r="F42" s="4" t="s">
        <v>21</v>
      </c>
      <c r="G42" s="4" t="s">
        <v>22</v>
      </c>
      <c r="H42" s="4" t="s">
        <v>23</v>
      </c>
      <c r="I42" s="4"/>
      <c r="J42" s="4" t="s">
        <v>2</v>
      </c>
    </row>
    <row r="43" spans="1:10" x14ac:dyDescent="0.25">
      <c r="A43" s="45" t="s">
        <v>9</v>
      </c>
      <c r="B43" s="45"/>
      <c r="C43" s="4">
        <v>70</v>
      </c>
      <c r="D43" s="4">
        <v>200</v>
      </c>
      <c r="E43" s="4">
        <v>470</v>
      </c>
      <c r="F43" s="4">
        <v>190</v>
      </c>
      <c r="G43" s="4">
        <v>30</v>
      </c>
      <c r="H43" s="4">
        <v>50</v>
      </c>
      <c r="I43" s="4"/>
      <c r="J43" s="4">
        <f>SUM(C43:I43)</f>
        <v>1010</v>
      </c>
    </row>
    <row r="44" spans="1:10" x14ac:dyDescent="0.25">
      <c r="A44" s="45" t="s">
        <v>28</v>
      </c>
      <c r="B44" s="45"/>
      <c r="C44" s="4">
        <v>20</v>
      </c>
      <c r="D44" s="4">
        <v>170</v>
      </c>
      <c r="E44" s="4">
        <v>250</v>
      </c>
      <c r="F44" s="4">
        <v>100</v>
      </c>
      <c r="G44" s="4">
        <v>50</v>
      </c>
      <c r="H44" s="4">
        <v>10</v>
      </c>
      <c r="I44" s="4"/>
      <c r="J44" s="4">
        <f>SUM(C44:I44)</f>
        <v>600</v>
      </c>
    </row>
    <row r="45" spans="1:10" x14ac:dyDescent="0.25">
      <c r="A45" s="35" t="s">
        <v>24</v>
      </c>
      <c r="B45" s="35"/>
      <c r="C45" s="4">
        <v>61.5</v>
      </c>
      <c r="D45" s="4">
        <v>62.5</v>
      </c>
      <c r="E45" s="4">
        <v>63.5</v>
      </c>
      <c r="F45" s="4">
        <v>64.5</v>
      </c>
      <c r="G45" s="4">
        <v>65.5</v>
      </c>
      <c r="H45" s="4">
        <v>66.5</v>
      </c>
      <c r="I45" s="4"/>
      <c r="J45" s="4">
        <f>SUM(J43:J44)</f>
        <v>1610</v>
      </c>
    </row>
    <row r="46" spans="1:10" x14ac:dyDescent="0.25">
      <c r="A46" s="42" t="s">
        <v>29</v>
      </c>
      <c r="B46" s="44"/>
      <c r="C46" s="4">
        <v>261</v>
      </c>
      <c r="D46" s="35" t="s">
        <v>57</v>
      </c>
      <c r="E46" s="35"/>
      <c r="F46" s="42" t="s">
        <v>58</v>
      </c>
      <c r="G46" s="43"/>
      <c r="H46" s="43"/>
      <c r="I46" s="43"/>
      <c r="J46" s="44"/>
    </row>
    <row r="47" spans="1:10" x14ac:dyDescent="0.25">
      <c r="A47" s="47" t="s">
        <v>25</v>
      </c>
      <c r="B47" s="47"/>
      <c r="C47" s="1"/>
      <c r="D47" s="47" t="s">
        <v>26</v>
      </c>
      <c r="E47" s="47"/>
      <c r="F47" s="1"/>
      <c r="G47" s="1"/>
      <c r="H47" s="47" t="s">
        <v>27</v>
      </c>
      <c r="I47" s="47"/>
      <c r="J47" s="47"/>
    </row>
    <row r="48" spans="1:10" x14ac:dyDescent="0.25">
      <c r="A48" s="46"/>
      <c r="B48" s="46"/>
      <c r="C48" s="1"/>
      <c r="D48" s="46"/>
      <c r="E48" s="46"/>
      <c r="F48" s="1"/>
      <c r="G48" s="1"/>
      <c r="H48" s="46"/>
      <c r="I48" s="46"/>
      <c r="J48" s="46"/>
    </row>
    <row r="49" spans="1:10" x14ac:dyDescent="0.25">
      <c r="A49" s="46"/>
      <c r="B49" s="46"/>
      <c r="C49" s="1"/>
      <c r="D49" s="46"/>
      <c r="E49" s="46"/>
      <c r="F49" s="1"/>
      <c r="G49" s="1"/>
      <c r="H49" s="46"/>
      <c r="I49" s="46"/>
      <c r="J49" s="46"/>
    </row>
    <row r="50" spans="1:10" x14ac:dyDescent="0.25">
      <c r="A50" s="46"/>
      <c r="B50" s="46"/>
      <c r="C50" s="1"/>
      <c r="D50" s="46"/>
      <c r="E50" s="46"/>
      <c r="F50" s="1"/>
      <c r="G50" s="1"/>
      <c r="H50" s="46"/>
      <c r="I50" s="46"/>
      <c r="J50" s="46"/>
    </row>
    <row r="51" spans="1:10" x14ac:dyDescent="0.25">
      <c r="A51" s="46"/>
      <c r="B51" s="46"/>
      <c r="C51" s="1"/>
      <c r="D51" s="46"/>
      <c r="E51" s="46"/>
      <c r="F51" s="1"/>
      <c r="G51" s="1"/>
      <c r="H51" s="46"/>
      <c r="I51" s="46"/>
      <c r="J51" s="46"/>
    </row>
  </sheetData>
  <mergeCells count="57">
    <mergeCell ref="A48:B51"/>
    <mergeCell ref="D48:E51"/>
    <mergeCell ref="H48:J51"/>
    <mergeCell ref="A46:B46"/>
    <mergeCell ref="D46:E46"/>
    <mergeCell ref="F46:J46"/>
    <mergeCell ref="A47:B47"/>
    <mergeCell ref="D47:E47"/>
    <mergeCell ref="H47:J47"/>
    <mergeCell ref="A45:B45"/>
    <mergeCell ref="A34:D34"/>
    <mergeCell ref="A35:D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33:D33"/>
    <mergeCell ref="A22:C22"/>
    <mergeCell ref="A23:C23"/>
    <mergeCell ref="A24:C24"/>
    <mergeCell ref="A25:C25"/>
    <mergeCell ref="A26:C26"/>
    <mergeCell ref="A27:C27"/>
    <mergeCell ref="A28:D28"/>
    <mergeCell ref="A29:D29"/>
    <mergeCell ref="A30:D30"/>
    <mergeCell ref="A31:D31"/>
    <mergeCell ref="A32:D32"/>
    <mergeCell ref="A21:C21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9:C9"/>
    <mergeCell ref="A1:J1"/>
    <mergeCell ref="A2:B2"/>
    <mergeCell ref="C2:E2"/>
    <mergeCell ref="F2:G2"/>
    <mergeCell ref="H2:J2"/>
    <mergeCell ref="A3:J3"/>
    <mergeCell ref="A4:D4"/>
    <mergeCell ref="A5:D5"/>
    <mergeCell ref="A6:D6"/>
    <mergeCell ref="A7:C7"/>
    <mergeCell ref="A8:C8"/>
  </mergeCells>
  <pageMargins left="0.25" right="0.25" top="0.75" bottom="0.75" header="0.3" footer="0.3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8800-DA88-4414-979C-2D392A73F86E}">
  <dimension ref="B3:K26"/>
  <sheetViews>
    <sheetView workbookViewId="0">
      <selection activeCell="H11" sqref="H11"/>
    </sheetView>
  </sheetViews>
  <sheetFormatPr defaultRowHeight="15" x14ac:dyDescent="0.25"/>
  <cols>
    <col min="2" max="2" width="12.7109375" bestFit="1" customWidth="1"/>
    <col min="3" max="3" width="27.140625" bestFit="1" customWidth="1"/>
    <col min="4" max="5" width="23.28515625" bestFit="1" customWidth="1"/>
    <col min="6" max="6" width="19.5703125" bestFit="1" customWidth="1"/>
    <col min="7" max="7" width="20.140625" bestFit="1" customWidth="1"/>
    <col min="8" max="8" width="14" bestFit="1" customWidth="1"/>
    <col min="9" max="9" width="16.28515625" bestFit="1" customWidth="1"/>
    <col min="14" max="14" width="11.5703125" bestFit="1" customWidth="1"/>
    <col min="15" max="15" width="10.42578125" bestFit="1" customWidth="1"/>
  </cols>
  <sheetData>
    <row r="3" spans="2:11" x14ac:dyDescent="0.25">
      <c r="D3" t="s">
        <v>95</v>
      </c>
      <c r="E3" t="s">
        <v>135</v>
      </c>
      <c r="F3" t="s">
        <v>188</v>
      </c>
      <c r="G3" t="s">
        <v>199</v>
      </c>
      <c r="H3" t="s">
        <v>2</v>
      </c>
      <c r="I3" t="s">
        <v>149</v>
      </c>
      <c r="J3" t="s">
        <v>150</v>
      </c>
      <c r="K3" s="32"/>
    </row>
    <row r="4" spans="2:11" x14ac:dyDescent="0.25">
      <c r="C4" t="s">
        <v>201</v>
      </c>
      <c r="D4">
        <v>1500</v>
      </c>
      <c r="E4">
        <v>1370</v>
      </c>
      <c r="F4">
        <v>1820</v>
      </c>
      <c r="G4">
        <v>1010</v>
      </c>
      <c r="K4" s="32"/>
    </row>
    <row r="5" spans="2:11" x14ac:dyDescent="0.25">
      <c r="C5" t="s">
        <v>202</v>
      </c>
      <c r="D5">
        <v>450</v>
      </c>
      <c r="E5">
        <v>0</v>
      </c>
      <c r="F5">
        <v>480</v>
      </c>
      <c r="G5">
        <v>600</v>
      </c>
      <c r="K5" s="32"/>
    </row>
    <row r="6" spans="2:11" x14ac:dyDescent="0.25">
      <c r="B6" t="s">
        <v>189</v>
      </c>
      <c r="C6" s="30" t="s">
        <v>190</v>
      </c>
      <c r="D6">
        <v>0</v>
      </c>
      <c r="E6">
        <v>0</v>
      </c>
      <c r="F6">
        <v>2300</v>
      </c>
      <c r="G6">
        <v>1610</v>
      </c>
      <c r="H6">
        <f>SUM(D6:G6)</f>
        <v>3910</v>
      </c>
      <c r="I6">
        <v>800</v>
      </c>
      <c r="J6" s="30">
        <v>3500</v>
      </c>
      <c r="K6" s="32"/>
    </row>
    <row r="7" spans="2:11" x14ac:dyDescent="0.25">
      <c r="B7" t="s">
        <v>189</v>
      </c>
      <c r="C7" s="30" t="s">
        <v>191</v>
      </c>
      <c r="D7">
        <v>1950</v>
      </c>
      <c r="E7">
        <v>1370</v>
      </c>
      <c r="F7">
        <v>0</v>
      </c>
      <c r="G7">
        <v>0</v>
      </c>
      <c r="H7">
        <f t="shared" ref="H7:H10" si="0">SUM(D7:G7)</f>
        <v>3320</v>
      </c>
      <c r="I7">
        <v>0</v>
      </c>
      <c r="J7" s="30">
        <v>4000</v>
      </c>
      <c r="K7" s="32"/>
    </row>
    <row r="8" spans="2:11" x14ac:dyDescent="0.25">
      <c r="B8" t="s">
        <v>189</v>
      </c>
      <c r="C8" s="30" t="s">
        <v>192</v>
      </c>
      <c r="D8">
        <v>3900</v>
      </c>
      <c r="E8">
        <v>1370</v>
      </c>
      <c r="F8">
        <v>2300</v>
      </c>
      <c r="G8">
        <v>1610</v>
      </c>
      <c r="H8">
        <f t="shared" si="0"/>
        <v>9180</v>
      </c>
      <c r="I8">
        <v>7400</v>
      </c>
      <c r="J8" s="30">
        <v>3000</v>
      </c>
      <c r="K8" s="32"/>
    </row>
    <row r="9" spans="2:11" x14ac:dyDescent="0.25">
      <c r="B9" t="s">
        <v>193</v>
      </c>
      <c r="C9" s="30" t="s">
        <v>203</v>
      </c>
      <c r="D9">
        <v>1950</v>
      </c>
      <c r="E9">
        <v>1370</v>
      </c>
      <c r="F9">
        <v>2300</v>
      </c>
      <c r="G9">
        <v>1610</v>
      </c>
      <c r="H9">
        <f t="shared" si="0"/>
        <v>7230</v>
      </c>
      <c r="I9">
        <v>0</v>
      </c>
      <c r="J9" s="30">
        <v>7500</v>
      </c>
      <c r="K9" s="32"/>
    </row>
    <row r="10" spans="2:11" x14ac:dyDescent="0.25">
      <c r="B10" t="s">
        <v>189</v>
      </c>
      <c r="C10" s="30" t="s">
        <v>194</v>
      </c>
      <c r="D10">
        <v>1950</v>
      </c>
      <c r="E10">
        <v>2740</v>
      </c>
      <c r="F10">
        <v>4600</v>
      </c>
      <c r="G10">
        <v>3220</v>
      </c>
      <c r="H10">
        <f t="shared" si="0"/>
        <v>12510</v>
      </c>
      <c r="I10">
        <f>300-1200</f>
        <v>-900</v>
      </c>
      <c r="J10">
        <v>15000</v>
      </c>
    </row>
    <row r="11" spans="2:11" x14ac:dyDescent="0.25">
      <c r="B11" t="s">
        <v>189</v>
      </c>
      <c r="C11" s="30" t="s">
        <v>195</v>
      </c>
    </row>
    <row r="13" spans="2:11" x14ac:dyDescent="0.25">
      <c r="C13" t="s">
        <v>196</v>
      </c>
      <c r="D13" t="s">
        <v>168</v>
      </c>
      <c r="E13" t="s">
        <v>169</v>
      </c>
      <c r="F13" t="s">
        <v>145</v>
      </c>
      <c r="G13" t="s">
        <v>2</v>
      </c>
      <c r="H13" t="s">
        <v>150</v>
      </c>
    </row>
    <row r="14" spans="2:11" x14ac:dyDescent="0.25">
      <c r="C14" t="s">
        <v>18</v>
      </c>
      <c r="D14">
        <v>0</v>
      </c>
      <c r="E14">
        <v>90</v>
      </c>
      <c r="F14">
        <v>60</v>
      </c>
      <c r="G14">
        <f>SUM(D14:F14)</f>
        <v>150</v>
      </c>
      <c r="H14" s="30">
        <v>200</v>
      </c>
    </row>
    <row r="15" spans="2:11" x14ac:dyDescent="0.25">
      <c r="C15" t="s">
        <v>19</v>
      </c>
      <c r="D15">
        <v>450</v>
      </c>
      <c r="E15">
        <v>370</v>
      </c>
      <c r="F15">
        <v>580</v>
      </c>
      <c r="G15">
        <f t="shared" ref="G15:G19" si="1">SUM(D15:F15)</f>
        <v>1400</v>
      </c>
      <c r="H15" s="30">
        <v>1500</v>
      </c>
    </row>
    <row r="16" spans="2:11" x14ac:dyDescent="0.25">
      <c r="C16" t="s">
        <v>20</v>
      </c>
      <c r="D16">
        <v>550</v>
      </c>
      <c r="E16">
        <v>720</v>
      </c>
      <c r="F16">
        <v>810</v>
      </c>
      <c r="G16">
        <f t="shared" si="1"/>
        <v>2080</v>
      </c>
      <c r="H16" s="30">
        <v>2200</v>
      </c>
    </row>
    <row r="17" spans="3:8" x14ac:dyDescent="0.25">
      <c r="C17" t="s">
        <v>21</v>
      </c>
      <c r="D17">
        <v>180</v>
      </c>
      <c r="E17">
        <v>290</v>
      </c>
      <c r="F17">
        <v>480</v>
      </c>
      <c r="G17">
        <f t="shared" si="1"/>
        <v>950</v>
      </c>
      <c r="H17" s="30">
        <v>1100</v>
      </c>
    </row>
    <row r="18" spans="3:8" x14ac:dyDescent="0.25">
      <c r="C18" t="s">
        <v>22</v>
      </c>
      <c r="D18">
        <v>190</v>
      </c>
      <c r="E18">
        <v>80</v>
      </c>
      <c r="F18">
        <v>260</v>
      </c>
      <c r="G18">
        <f t="shared" si="1"/>
        <v>530</v>
      </c>
      <c r="H18" s="30">
        <v>550</v>
      </c>
    </row>
    <row r="19" spans="3:8" x14ac:dyDescent="0.25">
      <c r="C19" t="s">
        <v>23</v>
      </c>
      <c r="D19">
        <v>0</v>
      </c>
      <c r="E19">
        <v>60</v>
      </c>
      <c r="F19">
        <v>110</v>
      </c>
      <c r="G19">
        <f t="shared" si="1"/>
        <v>170</v>
      </c>
      <c r="H19" s="30">
        <v>200</v>
      </c>
    </row>
    <row r="23" spans="3:8" x14ac:dyDescent="0.25">
      <c r="F23" s="29"/>
    </row>
    <row r="24" spans="3:8" x14ac:dyDescent="0.25">
      <c r="F24" s="29"/>
    </row>
    <row r="26" spans="3:8" x14ac:dyDescent="0.25">
      <c r="F26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BF3E-05CC-4C8F-AC27-B5EE7F1B4A3E}">
  <sheetPr>
    <pageSetUpPr fitToPage="1"/>
  </sheetPr>
  <dimension ref="C2:H57"/>
  <sheetViews>
    <sheetView topLeftCell="A50" workbookViewId="0">
      <selection activeCell="H4" sqref="H4:H56"/>
    </sheetView>
  </sheetViews>
  <sheetFormatPr defaultRowHeight="15" x14ac:dyDescent="0.25"/>
  <cols>
    <col min="3" max="3" width="28.42578125" customWidth="1"/>
    <col min="4" max="4" width="42.7109375" customWidth="1"/>
    <col min="5" max="5" width="24.140625" customWidth="1"/>
  </cols>
  <sheetData>
    <row r="2" spans="3:8" ht="15.75" thickBot="1" x14ac:dyDescent="0.3"/>
    <row r="3" spans="3:8" ht="15.75" thickBot="1" x14ac:dyDescent="0.3">
      <c r="C3" s="14" t="s">
        <v>80</v>
      </c>
      <c r="D3" s="15" t="s">
        <v>81</v>
      </c>
      <c r="E3" s="15" t="s">
        <v>82</v>
      </c>
      <c r="F3" s="15" t="s">
        <v>83</v>
      </c>
      <c r="G3" s="15" t="s">
        <v>84</v>
      </c>
      <c r="H3" s="16" t="s">
        <v>85</v>
      </c>
    </row>
    <row r="4" spans="3:8" ht="30" x14ac:dyDescent="0.25">
      <c r="C4" s="51" t="s">
        <v>95</v>
      </c>
      <c r="D4" s="10" t="s">
        <v>86</v>
      </c>
      <c r="E4" s="54" t="s">
        <v>96</v>
      </c>
      <c r="F4" s="17" t="s">
        <v>130</v>
      </c>
      <c r="G4" s="17" t="s">
        <v>87</v>
      </c>
      <c r="H4" s="18"/>
    </row>
    <row r="5" spans="3:8" ht="30" x14ac:dyDescent="0.25">
      <c r="C5" s="51"/>
      <c r="D5" s="10" t="s">
        <v>86</v>
      </c>
      <c r="E5" s="54"/>
      <c r="F5" s="17" t="s">
        <v>131</v>
      </c>
      <c r="G5" s="17" t="s">
        <v>88</v>
      </c>
      <c r="H5" s="18">
        <v>200</v>
      </c>
    </row>
    <row r="6" spans="3:8" ht="30" x14ac:dyDescent="0.25">
      <c r="C6" s="51"/>
      <c r="D6" s="10" t="s">
        <v>86</v>
      </c>
      <c r="E6" s="54"/>
      <c r="F6" s="17" t="s">
        <v>129</v>
      </c>
      <c r="G6" s="17" t="s">
        <v>89</v>
      </c>
      <c r="H6" s="18">
        <v>160</v>
      </c>
    </row>
    <row r="7" spans="3:8" ht="30" x14ac:dyDescent="0.25">
      <c r="C7" s="51"/>
      <c r="D7" s="10" t="s">
        <v>86</v>
      </c>
      <c r="E7" s="54"/>
      <c r="F7" s="17" t="s">
        <v>132</v>
      </c>
      <c r="G7" s="17" t="s">
        <v>90</v>
      </c>
      <c r="H7" s="18">
        <v>150</v>
      </c>
    </row>
    <row r="8" spans="3:8" ht="30" x14ac:dyDescent="0.25">
      <c r="C8" s="51"/>
      <c r="D8" s="10" t="s">
        <v>86</v>
      </c>
      <c r="E8" s="54"/>
      <c r="F8" s="17" t="s">
        <v>133</v>
      </c>
      <c r="G8" s="17" t="s">
        <v>91</v>
      </c>
      <c r="H8" s="18"/>
    </row>
    <row r="9" spans="3:8" ht="30" x14ac:dyDescent="0.25">
      <c r="C9" s="51"/>
      <c r="D9" s="10" t="s">
        <v>86</v>
      </c>
      <c r="E9" s="54"/>
      <c r="F9" s="17" t="s">
        <v>134</v>
      </c>
      <c r="G9" s="17" t="s">
        <v>92</v>
      </c>
      <c r="H9" s="18"/>
    </row>
    <row r="10" spans="3:8" ht="45" x14ac:dyDescent="0.25">
      <c r="C10" s="51"/>
      <c r="D10" s="10" t="s">
        <v>93</v>
      </c>
      <c r="E10" s="54"/>
      <c r="F10" s="23" t="s">
        <v>212</v>
      </c>
      <c r="G10" s="23" t="s">
        <v>87</v>
      </c>
      <c r="H10" s="24">
        <v>200</v>
      </c>
    </row>
    <row r="11" spans="3:8" ht="45" x14ac:dyDescent="0.25">
      <c r="C11" s="51"/>
      <c r="D11" s="10" t="s">
        <v>93</v>
      </c>
      <c r="E11" s="54"/>
      <c r="F11" s="23" t="s">
        <v>142</v>
      </c>
      <c r="G11" s="23" t="s">
        <v>88</v>
      </c>
      <c r="H11" s="24">
        <v>300</v>
      </c>
    </row>
    <row r="12" spans="3:8" ht="45" x14ac:dyDescent="0.25">
      <c r="C12" s="51"/>
      <c r="D12" s="10" t="s">
        <v>93</v>
      </c>
      <c r="E12" s="54"/>
      <c r="F12" s="23" t="s">
        <v>143</v>
      </c>
      <c r="G12" s="23" t="s">
        <v>89</v>
      </c>
      <c r="H12" s="24">
        <v>500</v>
      </c>
    </row>
    <row r="13" spans="3:8" ht="45" x14ac:dyDescent="0.25">
      <c r="C13" s="51"/>
      <c r="D13" s="10" t="s">
        <v>93</v>
      </c>
      <c r="E13" s="54"/>
      <c r="F13" s="23" t="s">
        <v>144</v>
      </c>
      <c r="G13" s="23" t="s">
        <v>90</v>
      </c>
      <c r="H13" s="24">
        <v>450</v>
      </c>
    </row>
    <row r="14" spans="3:8" ht="45" x14ac:dyDescent="0.25">
      <c r="C14" s="51"/>
      <c r="D14" s="10" t="s">
        <v>93</v>
      </c>
      <c r="E14" s="54"/>
      <c r="F14" s="23" t="s">
        <v>213</v>
      </c>
      <c r="G14" s="23" t="s">
        <v>91</v>
      </c>
      <c r="H14" s="24">
        <v>150</v>
      </c>
    </row>
    <row r="15" spans="3:8" ht="45.75" thickBot="1" x14ac:dyDescent="0.3">
      <c r="C15" s="52"/>
      <c r="D15" s="19" t="s">
        <v>93</v>
      </c>
      <c r="E15" s="55"/>
      <c r="F15" s="25" t="s">
        <v>214</v>
      </c>
      <c r="G15" s="25" t="s">
        <v>92</v>
      </c>
      <c r="H15" s="26">
        <v>50</v>
      </c>
    </row>
    <row r="16" spans="3:8" x14ac:dyDescent="0.25">
      <c r="C16" s="20"/>
      <c r="D16" s="20"/>
      <c r="E16" s="20"/>
      <c r="F16" s="20"/>
      <c r="G16" s="20"/>
      <c r="H16" s="20"/>
    </row>
    <row r="17" spans="3:8" ht="15.75" thickBot="1" x14ac:dyDescent="0.3">
      <c r="C17" s="20"/>
      <c r="D17" s="20"/>
      <c r="E17" s="20"/>
      <c r="F17" s="20"/>
      <c r="G17" s="20"/>
      <c r="H17" s="20"/>
    </row>
    <row r="18" spans="3:8" ht="30" x14ac:dyDescent="0.25">
      <c r="C18" s="50" t="s">
        <v>135</v>
      </c>
      <c r="D18" s="21" t="s">
        <v>86</v>
      </c>
      <c r="E18" s="53" t="s">
        <v>94</v>
      </c>
      <c r="F18" s="27" t="s">
        <v>171</v>
      </c>
      <c r="G18" s="27" t="s">
        <v>87</v>
      </c>
      <c r="H18" s="28"/>
    </row>
    <row r="19" spans="3:8" ht="30" x14ac:dyDescent="0.25">
      <c r="C19" s="51"/>
      <c r="D19" s="10" t="s">
        <v>86</v>
      </c>
      <c r="E19" s="54"/>
      <c r="F19" s="17" t="s">
        <v>138</v>
      </c>
      <c r="G19" s="17" t="s">
        <v>88</v>
      </c>
      <c r="H19" s="18"/>
    </row>
    <row r="20" spans="3:8" ht="30" x14ac:dyDescent="0.25">
      <c r="C20" s="51"/>
      <c r="D20" s="10" t="s">
        <v>86</v>
      </c>
      <c r="E20" s="54"/>
      <c r="F20" s="17" t="s">
        <v>139</v>
      </c>
      <c r="G20" s="17" t="s">
        <v>89</v>
      </c>
      <c r="H20" s="18"/>
    </row>
    <row r="21" spans="3:8" ht="30" x14ac:dyDescent="0.25">
      <c r="C21" s="51"/>
      <c r="D21" s="10" t="s">
        <v>86</v>
      </c>
      <c r="E21" s="54"/>
      <c r="F21" s="17" t="s">
        <v>140</v>
      </c>
      <c r="G21" s="17" t="s">
        <v>90</v>
      </c>
      <c r="H21" s="18"/>
    </row>
    <row r="22" spans="3:8" ht="30" x14ac:dyDescent="0.25">
      <c r="C22" s="51"/>
      <c r="D22" s="10" t="s">
        <v>86</v>
      </c>
      <c r="E22" s="54"/>
      <c r="F22" s="17" t="s">
        <v>141</v>
      </c>
      <c r="G22" s="17" t="s">
        <v>91</v>
      </c>
      <c r="H22" s="18"/>
    </row>
    <row r="23" spans="3:8" ht="30" x14ac:dyDescent="0.25">
      <c r="C23" s="51"/>
      <c r="D23" s="10" t="s">
        <v>86</v>
      </c>
      <c r="E23" s="54"/>
      <c r="F23" s="17" t="s">
        <v>172</v>
      </c>
      <c r="G23" s="17" t="s">
        <v>92</v>
      </c>
      <c r="H23" s="18"/>
    </row>
    <row r="24" spans="3:8" ht="45" x14ac:dyDescent="0.25">
      <c r="C24" s="51"/>
      <c r="D24" s="10" t="s">
        <v>93</v>
      </c>
      <c r="E24" s="54"/>
      <c r="F24" s="23"/>
      <c r="G24" s="23" t="s">
        <v>87</v>
      </c>
      <c r="H24" s="24"/>
    </row>
    <row r="25" spans="3:8" ht="45" x14ac:dyDescent="0.25">
      <c r="C25" s="51"/>
      <c r="D25" s="10" t="s">
        <v>93</v>
      </c>
      <c r="E25" s="54"/>
      <c r="F25" s="23" t="s">
        <v>216</v>
      </c>
      <c r="G25" s="23" t="s">
        <v>88</v>
      </c>
      <c r="H25" s="24">
        <v>500</v>
      </c>
    </row>
    <row r="26" spans="3:8" ht="45" x14ac:dyDescent="0.25">
      <c r="C26" s="51"/>
      <c r="D26" s="10" t="s">
        <v>93</v>
      </c>
      <c r="E26" s="54"/>
      <c r="F26" s="23" t="s">
        <v>136</v>
      </c>
      <c r="G26" s="23" t="s">
        <v>89</v>
      </c>
      <c r="H26" s="24">
        <v>600</v>
      </c>
    </row>
    <row r="27" spans="3:8" ht="45" x14ac:dyDescent="0.25">
      <c r="C27" s="51"/>
      <c r="D27" s="10" t="s">
        <v>93</v>
      </c>
      <c r="E27" s="54"/>
      <c r="F27" s="23" t="s">
        <v>137</v>
      </c>
      <c r="G27" s="23" t="s">
        <v>90</v>
      </c>
      <c r="H27" s="24">
        <v>200</v>
      </c>
    </row>
    <row r="28" spans="3:8" ht="45" x14ac:dyDescent="0.25">
      <c r="C28" s="51"/>
      <c r="D28" s="10" t="s">
        <v>93</v>
      </c>
      <c r="E28" s="54"/>
      <c r="F28" s="23" t="s">
        <v>217</v>
      </c>
      <c r="G28" s="23" t="s">
        <v>91</v>
      </c>
      <c r="H28" s="24">
        <v>200</v>
      </c>
    </row>
    <row r="29" spans="3:8" ht="45.75" thickBot="1" x14ac:dyDescent="0.3">
      <c r="C29" s="52"/>
      <c r="D29" s="19" t="s">
        <v>93</v>
      </c>
      <c r="E29" s="55"/>
      <c r="F29" s="25"/>
      <c r="G29" s="25" t="s">
        <v>92</v>
      </c>
      <c r="H29" s="26"/>
    </row>
    <row r="30" spans="3:8" ht="15.75" thickBot="1" x14ac:dyDescent="0.3">
      <c r="C30" s="20"/>
      <c r="D30" s="20"/>
      <c r="E30" s="20"/>
      <c r="F30" s="20"/>
      <c r="G30" s="20"/>
      <c r="H30" s="20"/>
    </row>
    <row r="31" spans="3:8" ht="30" x14ac:dyDescent="0.25">
      <c r="C31" s="50" t="s">
        <v>97</v>
      </c>
      <c r="D31" s="21" t="s">
        <v>86</v>
      </c>
      <c r="E31" s="53" t="s">
        <v>94</v>
      </c>
      <c r="F31" s="27" t="s">
        <v>119</v>
      </c>
      <c r="G31" s="27" t="s">
        <v>87</v>
      </c>
      <c r="H31" s="28">
        <v>50</v>
      </c>
    </row>
    <row r="32" spans="3:8" ht="30" x14ac:dyDescent="0.25">
      <c r="C32" s="51"/>
      <c r="D32" s="10" t="s">
        <v>86</v>
      </c>
      <c r="E32" s="54"/>
      <c r="F32" s="17" t="s">
        <v>120</v>
      </c>
      <c r="G32" s="17" t="s">
        <v>88</v>
      </c>
      <c r="H32" s="18">
        <v>120</v>
      </c>
    </row>
    <row r="33" spans="3:8" ht="30" x14ac:dyDescent="0.25">
      <c r="C33" s="51"/>
      <c r="D33" s="10" t="s">
        <v>86</v>
      </c>
      <c r="E33" s="54"/>
      <c r="F33" s="17" t="s">
        <v>121</v>
      </c>
      <c r="G33" s="17" t="s">
        <v>89</v>
      </c>
      <c r="H33" s="18">
        <v>220</v>
      </c>
    </row>
    <row r="34" spans="3:8" ht="30" x14ac:dyDescent="0.25">
      <c r="C34" s="51"/>
      <c r="D34" s="10" t="s">
        <v>86</v>
      </c>
      <c r="E34" s="54"/>
      <c r="F34" s="17" t="s">
        <v>122</v>
      </c>
      <c r="G34" s="17" t="s">
        <v>90</v>
      </c>
      <c r="H34" s="18">
        <v>120</v>
      </c>
    </row>
    <row r="35" spans="3:8" ht="30" x14ac:dyDescent="0.25">
      <c r="C35" s="51"/>
      <c r="D35" s="10" t="s">
        <v>86</v>
      </c>
      <c r="E35" s="54"/>
      <c r="F35" s="17" t="s">
        <v>123</v>
      </c>
      <c r="G35" s="17" t="s">
        <v>91</v>
      </c>
      <c r="H35" s="18">
        <v>100</v>
      </c>
    </row>
    <row r="36" spans="3:8" ht="30" x14ac:dyDescent="0.25">
      <c r="C36" s="51"/>
      <c r="D36" s="10" t="s">
        <v>86</v>
      </c>
      <c r="E36" s="54"/>
      <c r="F36" s="17" t="s">
        <v>124</v>
      </c>
      <c r="G36" s="17" t="s">
        <v>92</v>
      </c>
      <c r="H36" s="18">
        <v>0</v>
      </c>
    </row>
    <row r="37" spans="3:8" ht="45" x14ac:dyDescent="0.25">
      <c r="C37" s="51"/>
      <c r="D37" s="10" t="s">
        <v>93</v>
      </c>
      <c r="E37" s="54"/>
      <c r="F37" s="23" t="s">
        <v>215</v>
      </c>
      <c r="G37" s="23" t="s">
        <v>87</v>
      </c>
      <c r="H37" s="24">
        <v>60</v>
      </c>
    </row>
    <row r="38" spans="3:8" ht="45" x14ac:dyDescent="0.25">
      <c r="C38" s="51"/>
      <c r="D38" s="10" t="s">
        <v>93</v>
      </c>
      <c r="E38" s="54"/>
      <c r="F38" s="23" t="s">
        <v>125</v>
      </c>
      <c r="G38" s="23" t="s">
        <v>88</v>
      </c>
      <c r="H38" s="24">
        <v>500</v>
      </c>
    </row>
    <row r="39" spans="3:8" ht="45" x14ac:dyDescent="0.25">
      <c r="C39" s="51"/>
      <c r="D39" s="10" t="s">
        <v>93</v>
      </c>
      <c r="E39" s="54"/>
      <c r="F39" s="23" t="s">
        <v>126</v>
      </c>
      <c r="G39" s="23" t="s">
        <v>89</v>
      </c>
      <c r="H39" s="24">
        <v>650</v>
      </c>
    </row>
    <row r="40" spans="3:8" ht="45" x14ac:dyDescent="0.25">
      <c r="C40" s="51"/>
      <c r="D40" s="10" t="s">
        <v>93</v>
      </c>
      <c r="E40" s="54"/>
      <c r="F40" s="23" t="s">
        <v>127</v>
      </c>
      <c r="G40" s="23" t="s">
        <v>90</v>
      </c>
      <c r="H40" s="24">
        <v>400</v>
      </c>
    </row>
    <row r="41" spans="3:8" ht="45" x14ac:dyDescent="0.25">
      <c r="C41" s="51"/>
      <c r="D41" s="10" t="s">
        <v>93</v>
      </c>
      <c r="E41" s="54"/>
      <c r="F41" s="23" t="s">
        <v>128</v>
      </c>
      <c r="G41" s="23" t="s">
        <v>91</v>
      </c>
      <c r="H41" s="24">
        <v>210</v>
      </c>
    </row>
    <row r="42" spans="3:8" ht="45.75" thickBot="1" x14ac:dyDescent="0.3">
      <c r="C42" s="52"/>
      <c r="D42" s="19" t="s">
        <v>93</v>
      </c>
      <c r="E42" s="55"/>
      <c r="F42" s="25" t="s">
        <v>211</v>
      </c>
      <c r="G42" s="25" t="s">
        <v>92</v>
      </c>
      <c r="H42" s="26">
        <v>140</v>
      </c>
    </row>
    <row r="44" spans="3:8" ht="15.75" thickBot="1" x14ac:dyDescent="0.3">
      <c r="D44" s="10"/>
    </row>
    <row r="45" spans="3:8" ht="30" x14ac:dyDescent="0.25">
      <c r="C45" s="50" t="s">
        <v>173</v>
      </c>
      <c r="D45" s="21" t="s">
        <v>86</v>
      </c>
      <c r="E45" s="53" t="s">
        <v>94</v>
      </c>
      <c r="F45" s="27" t="s">
        <v>174</v>
      </c>
      <c r="G45" s="27" t="s">
        <v>87</v>
      </c>
      <c r="H45" s="28">
        <v>50</v>
      </c>
    </row>
    <row r="46" spans="3:8" ht="30" x14ac:dyDescent="0.25">
      <c r="C46" s="51"/>
      <c r="D46" s="10" t="s">
        <v>86</v>
      </c>
      <c r="E46" s="54"/>
      <c r="F46" s="17" t="s">
        <v>175</v>
      </c>
      <c r="G46" s="17" t="s">
        <v>88</v>
      </c>
      <c r="H46" s="18">
        <v>200</v>
      </c>
    </row>
    <row r="47" spans="3:8" ht="30" x14ac:dyDescent="0.25">
      <c r="C47" s="51"/>
      <c r="D47" s="10" t="s">
        <v>86</v>
      </c>
      <c r="E47" s="54"/>
      <c r="F47" s="17" t="s">
        <v>176</v>
      </c>
      <c r="G47" s="17" t="s">
        <v>89</v>
      </c>
      <c r="H47" s="18">
        <v>270</v>
      </c>
    </row>
    <row r="48" spans="3:8" ht="30" x14ac:dyDescent="0.25">
      <c r="C48" s="51"/>
      <c r="D48" s="10" t="s">
        <v>86</v>
      </c>
      <c r="E48" s="54"/>
      <c r="F48" s="17" t="s">
        <v>177</v>
      </c>
      <c r="G48" s="17" t="s">
        <v>90</v>
      </c>
      <c r="H48" s="18">
        <v>120</v>
      </c>
    </row>
    <row r="49" spans="3:8" ht="30" x14ac:dyDescent="0.25">
      <c r="C49" s="51"/>
      <c r="D49" s="10" t="s">
        <v>86</v>
      </c>
      <c r="E49" s="54"/>
      <c r="F49" s="17" t="s">
        <v>178</v>
      </c>
      <c r="G49" s="17" t="s">
        <v>91</v>
      </c>
      <c r="H49" s="18">
        <v>70</v>
      </c>
    </row>
    <row r="50" spans="3:8" ht="30" x14ac:dyDescent="0.25">
      <c r="C50" s="51"/>
      <c r="D50" s="10" t="s">
        <v>86</v>
      </c>
      <c r="E50" s="54"/>
      <c r="F50" s="17" t="s">
        <v>179</v>
      </c>
      <c r="G50" s="17" t="s">
        <v>92</v>
      </c>
      <c r="H50" s="18">
        <v>50</v>
      </c>
    </row>
    <row r="51" spans="3:8" ht="45" x14ac:dyDescent="0.25">
      <c r="C51" s="51"/>
      <c r="D51" s="10" t="s">
        <v>93</v>
      </c>
      <c r="E51" s="54"/>
      <c r="F51" s="23" t="s">
        <v>180</v>
      </c>
      <c r="G51" s="23" t="s">
        <v>87</v>
      </c>
      <c r="H51" s="24">
        <v>150</v>
      </c>
    </row>
    <row r="52" spans="3:8" ht="45" x14ac:dyDescent="0.25">
      <c r="C52" s="51"/>
      <c r="D52" s="10" t="s">
        <v>93</v>
      </c>
      <c r="E52" s="54"/>
      <c r="F52" s="23" t="s">
        <v>175</v>
      </c>
      <c r="G52" s="23" t="s">
        <v>88</v>
      </c>
      <c r="H52" s="24">
        <v>450</v>
      </c>
    </row>
    <row r="53" spans="3:8" ht="45" x14ac:dyDescent="0.25">
      <c r="C53" s="51"/>
      <c r="D53" s="10" t="s">
        <v>93</v>
      </c>
      <c r="E53" s="54"/>
      <c r="F53" s="23" t="s">
        <v>181</v>
      </c>
      <c r="G53" s="23" t="s">
        <v>89</v>
      </c>
      <c r="H53" s="24">
        <v>650</v>
      </c>
    </row>
    <row r="54" spans="3:8" ht="45" x14ac:dyDescent="0.25">
      <c r="C54" s="51"/>
      <c r="D54" s="10" t="s">
        <v>93</v>
      </c>
      <c r="E54" s="54"/>
      <c r="F54" s="23" t="s">
        <v>182</v>
      </c>
      <c r="G54" s="23" t="s">
        <v>90</v>
      </c>
      <c r="H54" s="24">
        <v>250</v>
      </c>
    </row>
    <row r="55" spans="3:8" ht="45" x14ac:dyDescent="0.25">
      <c r="C55" s="51"/>
      <c r="D55" s="10" t="s">
        <v>93</v>
      </c>
      <c r="E55" s="54"/>
      <c r="F55" s="23" t="s">
        <v>183</v>
      </c>
      <c r="G55" s="23" t="s">
        <v>91</v>
      </c>
      <c r="H55" s="24">
        <v>60</v>
      </c>
    </row>
    <row r="56" spans="3:8" ht="45.75" thickBot="1" x14ac:dyDescent="0.3">
      <c r="C56" s="52"/>
      <c r="D56" s="19" t="s">
        <v>93</v>
      </c>
      <c r="E56" s="55"/>
      <c r="F56" s="25" t="s">
        <v>184</v>
      </c>
      <c r="G56" s="25" t="s">
        <v>92</v>
      </c>
      <c r="H56" s="26">
        <v>100</v>
      </c>
    </row>
    <row r="57" spans="3:8" x14ac:dyDescent="0.25">
      <c r="C57" s="20"/>
      <c r="D57" s="20"/>
      <c r="E57" s="20"/>
      <c r="F57" s="20"/>
      <c r="G57" s="20"/>
      <c r="H57" s="20"/>
    </row>
  </sheetData>
  <mergeCells count="8">
    <mergeCell ref="C45:C56"/>
    <mergeCell ref="E45:E56"/>
    <mergeCell ref="C31:C42"/>
    <mergeCell ref="E31:E42"/>
    <mergeCell ref="E4:E15"/>
    <mergeCell ref="C18:C29"/>
    <mergeCell ref="E18:E29"/>
    <mergeCell ref="C4:C15"/>
  </mergeCells>
  <pageMargins left="0.7" right="0.7" top="0.75" bottom="0.75" header="0.3" footer="0.3"/>
  <pageSetup paperSize="9" scale="6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709F-8B9A-4D03-87E1-3E5C6F8BC6F6}">
  <dimension ref="C1:R20"/>
  <sheetViews>
    <sheetView workbookViewId="0">
      <selection activeCell="J11" sqref="J11"/>
    </sheetView>
  </sheetViews>
  <sheetFormatPr defaultRowHeight="15" x14ac:dyDescent="0.25"/>
  <cols>
    <col min="3" max="3" width="46.7109375" customWidth="1"/>
    <col min="7" max="7" width="11.5703125" customWidth="1"/>
    <col min="8" max="8" width="11.140625" bestFit="1" customWidth="1"/>
    <col min="11" max="11" width="39.28515625" bestFit="1" customWidth="1"/>
  </cols>
  <sheetData>
    <row r="1" spans="3:11" x14ac:dyDescent="0.25">
      <c r="K1" t="s">
        <v>79</v>
      </c>
    </row>
    <row r="2" spans="3:11" x14ac:dyDescent="0.25">
      <c r="D2" t="s">
        <v>68</v>
      </c>
      <c r="H2" t="s">
        <v>70</v>
      </c>
      <c r="K2">
        <v>7.3999999999999996E-2</v>
      </c>
    </row>
    <row r="3" spans="3:11" x14ac:dyDescent="0.25">
      <c r="D3" t="s">
        <v>69</v>
      </c>
      <c r="H3" t="s">
        <v>71</v>
      </c>
      <c r="I3" t="s">
        <v>72</v>
      </c>
      <c r="J3" t="s">
        <v>73</v>
      </c>
      <c r="K3">
        <v>0.111</v>
      </c>
    </row>
    <row r="4" spans="3:11" x14ac:dyDescent="0.25">
      <c r="C4" t="s">
        <v>59</v>
      </c>
      <c r="D4" t="s">
        <v>76</v>
      </c>
      <c r="H4" t="s">
        <v>77</v>
      </c>
      <c r="K4">
        <v>5.1999999999999998E-2</v>
      </c>
    </row>
    <row r="5" spans="3:11" x14ac:dyDescent="0.25">
      <c r="E5" t="s">
        <v>67</v>
      </c>
      <c r="F5" t="s">
        <v>78</v>
      </c>
      <c r="G5" t="s">
        <v>79</v>
      </c>
    </row>
    <row r="6" spans="3:11" x14ac:dyDescent="0.25">
      <c r="C6" s="11" t="s">
        <v>60</v>
      </c>
      <c r="D6" s="12">
        <v>450</v>
      </c>
      <c r="E6">
        <v>30</v>
      </c>
      <c r="F6" s="9">
        <f>D6/E6</f>
        <v>15</v>
      </c>
      <c r="G6">
        <v>7.3999999999999996E-2</v>
      </c>
      <c r="H6" s="22">
        <f>F6*G6</f>
        <v>1.1099999999999999</v>
      </c>
    </row>
    <row r="7" spans="3:11" x14ac:dyDescent="0.25">
      <c r="C7" s="11" t="s">
        <v>61</v>
      </c>
      <c r="D7" s="12">
        <v>1500</v>
      </c>
      <c r="E7">
        <v>30</v>
      </c>
      <c r="F7" s="9">
        <f t="shared" ref="F7:F14" si="0">D7/E7</f>
        <v>50</v>
      </c>
      <c r="G7">
        <v>7.3999999999999996E-2</v>
      </c>
      <c r="H7" s="22">
        <f t="shared" ref="H7:H10" si="1">F7*G7</f>
        <v>3.6999999999999997</v>
      </c>
    </row>
    <row r="8" spans="3:11" x14ac:dyDescent="0.25">
      <c r="C8" s="11" t="s">
        <v>62</v>
      </c>
      <c r="D8" s="12">
        <v>2300</v>
      </c>
      <c r="E8">
        <v>10</v>
      </c>
      <c r="F8">
        <f t="shared" si="0"/>
        <v>230</v>
      </c>
      <c r="G8">
        <v>0.111</v>
      </c>
      <c r="H8" s="22">
        <f t="shared" si="1"/>
        <v>25.53</v>
      </c>
    </row>
    <row r="9" spans="3:11" x14ac:dyDescent="0.25">
      <c r="C9" s="11" t="s">
        <v>74</v>
      </c>
      <c r="D9" s="12">
        <v>1370</v>
      </c>
      <c r="E9">
        <v>40</v>
      </c>
      <c r="F9">
        <f t="shared" si="0"/>
        <v>34.25</v>
      </c>
      <c r="G9">
        <v>0.111</v>
      </c>
      <c r="H9" s="13">
        <f t="shared" si="1"/>
        <v>3.8017500000000002</v>
      </c>
    </row>
    <row r="10" spans="3:11" x14ac:dyDescent="0.25">
      <c r="C10" s="11" t="s">
        <v>75</v>
      </c>
      <c r="D10" s="12"/>
      <c r="E10">
        <v>40</v>
      </c>
      <c r="F10">
        <f t="shared" si="0"/>
        <v>0</v>
      </c>
      <c r="G10">
        <v>0.111</v>
      </c>
      <c r="H10" s="22">
        <f t="shared" si="1"/>
        <v>0</v>
      </c>
    </row>
    <row r="11" spans="3:11" x14ac:dyDescent="0.25">
      <c r="C11" s="11" t="s">
        <v>63</v>
      </c>
      <c r="D11" s="12">
        <v>1610</v>
      </c>
      <c r="E11">
        <v>10</v>
      </c>
      <c r="F11">
        <f t="shared" si="0"/>
        <v>161</v>
      </c>
      <c r="G11">
        <v>0.111</v>
      </c>
      <c r="H11" s="13">
        <f>F11*G11</f>
        <v>17.870999999999999</v>
      </c>
    </row>
    <row r="12" spans="3:11" x14ac:dyDescent="0.25">
      <c r="C12" s="11" t="s">
        <v>64</v>
      </c>
      <c r="D12" s="12">
        <v>570</v>
      </c>
      <c r="E12">
        <v>10</v>
      </c>
      <c r="F12">
        <f t="shared" si="0"/>
        <v>57</v>
      </c>
      <c r="G12">
        <v>0.111</v>
      </c>
      <c r="H12" s="22">
        <f t="shared" ref="H12:H14" si="2">F12*G12</f>
        <v>6.327</v>
      </c>
    </row>
    <row r="13" spans="3:11" x14ac:dyDescent="0.25">
      <c r="C13" s="11" t="s">
        <v>65</v>
      </c>
      <c r="D13" s="12"/>
      <c r="E13">
        <v>10</v>
      </c>
      <c r="F13">
        <f t="shared" si="0"/>
        <v>0</v>
      </c>
      <c r="G13">
        <v>0.111</v>
      </c>
      <c r="H13" s="13">
        <f t="shared" si="2"/>
        <v>0</v>
      </c>
    </row>
    <row r="14" spans="3:11" x14ac:dyDescent="0.25">
      <c r="C14" s="11" t="s">
        <v>66</v>
      </c>
      <c r="D14" s="12"/>
      <c r="E14">
        <v>20</v>
      </c>
      <c r="F14">
        <f t="shared" si="0"/>
        <v>0</v>
      </c>
      <c r="G14">
        <v>5.1999999999999998E-2</v>
      </c>
      <c r="H14" s="13">
        <f t="shared" si="2"/>
        <v>0</v>
      </c>
    </row>
    <row r="15" spans="3:11" x14ac:dyDescent="0.25">
      <c r="C15" s="11" t="s">
        <v>66</v>
      </c>
      <c r="D15" s="12"/>
      <c r="E15">
        <v>20</v>
      </c>
      <c r="F15">
        <f t="shared" ref="F15" si="3">D15/E15</f>
        <v>0</v>
      </c>
      <c r="G15">
        <v>5.1999999999999998E-2</v>
      </c>
      <c r="H15" s="13">
        <f t="shared" ref="H15" si="4">F15*G15</f>
        <v>0</v>
      </c>
    </row>
    <row r="17" spans="3:18" x14ac:dyDescent="0.25">
      <c r="L17" t="s">
        <v>145</v>
      </c>
      <c r="M17" t="s">
        <v>146</v>
      </c>
      <c r="N17" t="s">
        <v>147</v>
      </c>
      <c r="O17" t="s">
        <v>77</v>
      </c>
      <c r="P17" t="s">
        <v>148</v>
      </c>
      <c r="Q17" t="s">
        <v>149</v>
      </c>
      <c r="R17" t="s">
        <v>150</v>
      </c>
    </row>
    <row r="18" spans="3:18" x14ac:dyDescent="0.25">
      <c r="D18" t="s">
        <v>148</v>
      </c>
      <c r="E18" t="s">
        <v>149</v>
      </c>
      <c r="F18" t="s">
        <v>150</v>
      </c>
      <c r="K18" t="s">
        <v>69</v>
      </c>
      <c r="L18" s="30">
        <v>448</v>
      </c>
      <c r="M18" s="30">
        <v>35</v>
      </c>
      <c r="N18">
        <v>0</v>
      </c>
      <c r="O18">
        <v>0</v>
      </c>
      <c r="P18">
        <f>L18+M18</f>
        <v>483</v>
      </c>
      <c r="Q18">
        <v>18</v>
      </c>
      <c r="R18">
        <v>500</v>
      </c>
    </row>
    <row r="19" spans="3:18" ht="30" x14ac:dyDescent="0.25">
      <c r="C19" s="31" t="s">
        <v>186</v>
      </c>
      <c r="D19">
        <v>3320</v>
      </c>
      <c r="E19">
        <v>800</v>
      </c>
      <c r="F19">
        <v>3000</v>
      </c>
      <c r="K19" t="s">
        <v>68</v>
      </c>
      <c r="L19">
        <v>0</v>
      </c>
      <c r="M19">
        <v>0</v>
      </c>
      <c r="N19" s="30">
        <v>65</v>
      </c>
      <c r="O19">
        <v>0</v>
      </c>
      <c r="P19">
        <f>N19</f>
        <v>65</v>
      </c>
      <c r="Q19">
        <v>30</v>
      </c>
      <c r="R19">
        <v>50</v>
      </c>
    </row>
    <row r="20" spans="3:18" ht="45" x14ac:dyDescent="0.25">
      <c r="C20" s="31" t="s">
        <v>187</v>
      </c>
      <c r="D20">
        <v>4480</v>
      </c>
      <c r="E20">
        <v>1300</v>
      </c>
      <c r="F20">
        <v>3700</v>
      </c>
      <c r="K20" t="s">
        <v>76</v>
      </c>
      <c r="L20">
        <v>0</v>
      </c>
      <c r="M20">
        <v>0</v>
      </c>
      <c r="N20">
        <v>0</v>
      </c>
      <c r="O20">
        <v>0</v>
      </c>
      <c r="P20">
        <f>O20</f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6786-4459-4551-8692-5D135383B4A7}">
  <dimension ref="B3:U20"/>
  <sheetViews>
    <sheetView topLeftCell="A2" workbookViewId="0">
      <selection activeCell="L13" sqref="L13"/>
    </sheetView>
  </sheetViews>
  <sheetFormatPr defaultRowHeight="15" x14ac:dyDescent="0.25"/>
  <cols>
    <col min="16" max="16" width="15.28515625" bestFit="1" customWidth="1"/>
  </cols>
  <sheetData>
    <row r="3" spans="2:21" x14ac:dyDescent="0.25">
      <c r="B3" s="30" t="s">
        <v>155</v>
      </c>
      <c r="E3" t="s">
        <v>204</v>
      </c>
      <c r="G3" t="s">
        <v>197</v>
      </c>
      <c r="J3" s="30" t="s">
        <v>51</v>
      </c>
    </row>
    <row r="4" spans="2:21" x14ac:dyDescent="0.25">
      <c r="E4" t="s">
        <v>154</v>
      </c>
      <c r="F4" t="s">
        <v>112</v>
      </c>
      <c r="G4" t="s">
        <v>116</v>
      </c>
      <c r="L4" t="s">
        <v>112</v>
      </c>
      <c r="M4" t="s">
        <v>116</v>
      </c>
      <c r="Q4" t="s">
        <v>168</v>
      </c>
      <c r="R4" t="s">
        <v>169</v>
      </c>
      <c r="S4" t="s">
        <v>145</v>
      </c>
      <c r="U4" t="s">
        <v>116</v>
      </c>
    </row>
    <row r="5" spans="2:21" x14ac:dyDescent="0.25">
      <c r="B5" t="s">
        <v>162</v>
      </c>
      <c r="D5">
        <v>90</v>
      </c>
      <c r="E5">
        <f>C5+D5</f>
        <v>90</v>
      </c>
      <c r="F5">
        <v>38</v>
      </c>
      <c r="G5" s="30">
        <f>E5+50-F5</f>
        <v>102</v>
      </c>
      <c r="H5">
        <v>16</v>
      </c>
      <c r="I5">
        <f>G5*H5</f>
        <v>1632</v>
      </c>
      <c r="J5" t="s">
        <v>156</v>
      </c>
      <c r="K5">
        <v>60</v>
      </c>
      <c r="L5">
        <v>40</v>
      </c>
      <c r="M5" s="30">
        <f>K5+50-L5</f>
        <v>70</v>
      </c>
      <c r="N5">
        <v>23</v>
      </c>
      <c r="O5">
        <f>M5*N5</f>
        <v>1610</v>
      </c>
      <c r="P5" s="30" t="s">
        <v>43</v>
      </c>
      <c r="T5">
        <f>Q5+R5+S5</f>
        <v>0</v>
      </c>
      <c r="U5">
        <v>8840</v>
      </c>
    </row>
    <row r="6" spans="2:21" x14ac:dyDescent="0.25">
      <c r="B6" t="s">
        <v>163</v>
      </c>
      <c r="C6">
        <v>450</v>
      </c>
      <c r="D6">
        <v>370</v>
      </c>
      <c r="E6">
        <f t="shared" ref="E6:E12" si="0">C6+D6</f>
        <v>820</v>
      </c>
      <c r="F6">
        <v>0</v>
      </c>
      <c r="G6" s="30">
        <f>E6+60-F6</f>
        <v>880</v>
      </c>
      <c r="H6">
        <f>H5+0.2</f>
        <v>16.2</v>
      </c>
      <c r="I6">
        <f t="shared" ref="I6:I11" si="1">G6*H6</f>
        <v>14256</v>
      </c>
      <c r="J6" t="s">
        <v>157</v>
      </c>
      <c r="K6">
        <v>580</v>
      </c>
      <c r="L6">
        <v>49</v>
      </c>
      <c r="M6" s="30">
        <f t="shared" ref="M6:M10" si="2">K6+50-L6</f>
        <v>581</v>
      </c>
      <c r="N6">
        <f>N5+0.2</f>
        <v>23.2</v>
      </c>
      <c r="O6">
        <f t="shared" ref="O6:O10" si="3">M6*N6</f>
        <v>13479.199999999999</v>
      </c>
      <c r="P6" s="30" t="s">
        <v>53</v>
      </c>
      <c r="T6">
        <f t="shared" ref="T6:T8" si="4">Q6+R6+S6</f>
        <v>0</v>
      </c>
      <c r="U6">
        <v>17000</v>
      </c>
    </row>
    <row r="7" spans="2:21" x14ac:dyDescent="0.25">
      <c r="B7" t="s">
        <v>164</v>
      </c>
      <c r="C7">
        <v>550</v>
      </c>
      <c r="D7">
        <v>720</v>
      </c>
      <c r="E7">
        <f t="shared" si="0"/>
        <v>1270</v>
      </c>
      <c r="F7">
        <v>13</v>
      </c>
      <c r="G7" s="30">
        <f>E7+100-F7</f>
        <v>1357</v>
      </c>
      <c r="H7">
        <f>H6+0.2</f>
        <v>16.399999999999999</v>
      </c>
      <c r="I7">
        <f t="shared" si="1"/>
        <v>22254.799999999999</v>
      </c>
      <c r="J7" t="s">
        <v>158</v>
      </c>
      <c r="K7">
        <v>810</v>
      </c>
      <c r="L7">
        <v>76</v>
      </c>
      <c r="M7" s="30">
        <f t="shared" si="2"/>
        <v>784</v>
      </c>
      <c r="N7">
        <f>N6+0.2</f>
        <v>23.4</v>
      </c>
      <c r="O7">
        <f t="shared" si="3"/>
        <v>18345.599999999999</v>
      </c>
      <c r="P7" s="30" t="s">
        <v>44</v>
      </c>
      <c r="T7">
        <f t="shared" si="4"/>
        <v>0</v>
      </c>
      <c r="U7">
        <v>17000</v>
      </c>
    </row>
    <row r="8" spans="2:21" x14ac:dyDescent="0.25">
      <c r="B8" t="s">
        <v>166</v>
      </c>
      <c r="D8">
        <v>290</v>
      </c>
      <c r="E8">
        <f t="shared" si="0"/>
        <v>290</v>
      </c>
      <c r="F8">
        <v>36</v>
      </c>
      <c r="G8" s="30">
        <f t="shared" ref="G8:G11" si="5">E8+50-F8</f>
        <v>304</v>
      </c>
      <c r="H8">
        <f t="shared" ref="H8:H11" si="6">H7+0.2</f>
        <v>16.599999999999998</v>
      </c>
      <c r="I8">
        <f t="shared" si="1"/>
        <v>5046.3999999999996</v>
      </c>
      <c r="J8" t="s">
        <v>159</v>
      </c>
      <c r="K8">
        <v>480</v>
      </c>
      <c r="L8">
        <v>62</v>
      </c>
      <c r="M8" s="30">
        <f t="shared" si="2"/>
        <v>468</v>
      </c>
      <c r="N8">
        <f t="shared" ref="N8:N10" si="7">N7+0.2</f>
        <v>23.599999999999998</v>
      </c>
      <c r="O8">
        <f t="shared" si="3"/>
        <v>11044.8</v>
      </c>
      <c r="P8" s="30" t="s">
        <v>45</v>
      </c>
      <c r="T8">
        <f t="shared" si="4"/>
        <v>0</v>
      </c>
      <c r="U8">
        <v>34000</v>
      </c>
    </row>
    <row r="9" spans="2:21" x14ac:dyDescent="0.25">
      <c r="B9" t="s">
        <v>165</v>
      </c>
      <c r="C9">
        <v>180</v>
      </c>
      <c r="D9">
        <v>80</v>
      </c>
      <c r="E9">
        <f t="shared" si="0"/>
        <v>260</v>
      </c>
      <c r="F9">
        <v>60</v>
      </c>
      <c r="G9" s="30">
        <f t="shared" si="5"/>
        <v>250</v>
      </c>
      <c r="H9">
        <f t="shared" si="6"/>
        <v>16.799999999999997</v>
      </c>
      <c r="I9">
        <f t="shared" si="1"/>
        <v>4199.9999999999991</v>
      </c>
      <c r="J9" t="s">
        <v>160</v>
      </c>
      <c r="K9">
        <v>260</v>
      </c>
      <c r="L9">
        <v>50</v>
      </c>
      <c r="M9" s="30">
        <f t="shared" si="2"/>
        <v>260</v>
      </c>
      <c r="N9">
        <f t="shared" si="7"/>
        <v>23.799999999999997</v>
      </c>
      <c r="O9">
        <f t="shared" si="3"/>
        <v>6187.9999999999991</v>
      </c>
    </row>
    <row r="10" spans="2:21" x14ac:dyDescent="0.25">
      <c r="B10" t="s">
        <v>167</v>
      </c>
      <c r="D10">
        <v>60</v>
      </c>
      <c r="E10">
        <f t="shared" si="0"/>
        <v>60</v>
      </c>
      <c r="F10">
        <v>16</v>
      </c>
      <c r="G10" s="30">
        <f t="shared" si="5"/>
        <v>94</v>
      </c>
      <c r="H10">
        <f t="shared" si="6"/>
        <v>16.999999999999996</v>
      </c>
      <c r="I10">
        <f t="shared" si="1"/>
        <v>1597.9999999999998</v>
      </c>
      <c r="J10" t="s">
        <v>161</v>
      </c>
      <c r="K10">
        <v>110</v>
      </c>
      <c r="L10">
        <v>58</v>
      </c>
      <c r="M10" s="30">
        <f t="shared" si="2"/>
        <v>102</v>
      </c>
      <c r="N10">
        <f t="shared" si="7"/>
        <v>23.999999999999996</v>
      </c>
      <c r="O10">
        <f t="shared" si="3"/>
        <v>2447.9999999999995</v>
      </c>
    </row>
    <row r="11" spans="2:21" x14ac:dyDescent="0.25">
      <c r="B11" t="s">
        <v>157</v>
      </c>
      <c r="C11">
        <v>190</v>
      </c>
      <c r="E11">
        <f t="shared" si="0"/>
        <v>190</v>
      </c>
      <c r="F11">
        <v>49</v>
      </c>
      <c r="G11" s="30">
        <f t="shared" si="5"/>
        <v>191</v>
      </c>
      <c r="H11">
        <f t="shared" si="6"/>
        <v>17.199999999999996</v>
      </c>
      <c r="I11">
        <f t="shared" si="1"/>
        <v>3285.1999999999994</v>
      </c>
      <c r="M11">
        <f>SUM(M5:M10)</f>
        <v>2265</v>
      </c>
      <c r="O11">
        <f>SUM(O5:O10)</f>
        <v>53115.599999999991</v>
      </c>
    </row>
    <row r="12" spans="2:21" x14ac:dyDescent="0.25">
      <c r="B12" t="s">
        <v>170</v>
      </c>
      <c r="E12">
        <f t="shared" si="0"/>
        <v>0</v>
      </c>
      <c r="F12">
        <v>31</v>
      </c>
    </row>
    <row r="13" spans="2:21" x14ac:dyDescent="0.25">
      <c r="G13">
        <f>SUM(G5:G12)</f>
        <v>3178</v>
      </c>
      <c r="I13">
        <f>SUM(I5:I12)</f>
        <v>52272.4</v>
      </c>
    </row>
    <row r="17" spans="6:9" x14ac:dyDescent="0.25">
      <c r="F17">
        <v>3187</v>
      </c>
      <c r="G17">
        <v>16.899999999999999</v>
      </c>
      <c r="H17">
        <f>F17*G17</f>
        <v>53860.299999999996</v>
      </c>
    </row>
    <row r="18" spans="6:9" x14ac:dyDescent="0.25">
      <c r="F18">
        <v>2265</v>
      </c>
      <c r="G18">
        <v>25</v>
      </c>
      <c r="H18">
        <f>F18*G18</f>
        <v>56625</v>
      </c>
    </row>
    <row r="19" spans="6:9" x14ac:dyDescent="0.25">
      <c r="H19">
        <f>SUM(H17:H18)</f>
        <v>110485.29999999999</v>
      </c>
      <c r="I19">
        <f>I13+O11</f>
        <v>105388</v>
      </c>
    </row>
    <row r="20" spans="6:9" x14ac:dyDescent="0.25">
      <c r="I20">
        <f>H19-I19</f>
        <v>5097.2999999999884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Waterproof Trousers</vt:lpstr>
      <vt:lpstr>Unlined Jacket</vt:lpstr>
      <vt:lpstr>Contractors Jacket</vt:lpstr>
      <vt:lpstr>Bomber Jacket</vt:lpstr>
      <vt:lpstr>Sheet4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Himanshu10</dc:creator>
  <cp:lastModifiedBy>Shivangi Jain</cp:lastModifiedBy>
  <cp:lastPrinted>2026-01-07T04:22:58Z</cp:lastPrinted>
  <dcterms:created xsi:type="dcterms:W3CDTF">2019-03-11T08:20:56Z</dcterms:created>
  <dcterms:modified xsi:type="dcterms:W3CDTF">2026-03-07T08:59:01Z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